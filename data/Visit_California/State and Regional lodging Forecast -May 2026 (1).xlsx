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sitcalifornia-my.sharepoint.com/personal/achibukhchyan_visitcalifornia_com/Documents/# ANI/#Research Pages/State and Regional Lodging Forecast/2026/May 2026/"/>
    </mc:Choice>
  </mc:AlternateContent>
  <xr:revisionPtr revIDLastSave="120" documentId="8_{EDD5BBDE-05EA-4330-BE33-F2EA8399FB0A}" xr6:coauthVersionLast="47" xr6:coauthVersionMax="47" xr10:uidLastSave="{6B9A15E1-EFA2-4246-AE2C-A83C8CEED767}"/>
  <bookViews>
    <workbookView xWindow="15860" yWindow="600" windowWidth="48360" windowHeight="26640" tabRatio="793" xr2:uid="{730B77F4-E6BB-40D6-AF93-D3864A5CF7A1}"/>
  </bookViews>
  <sheets>
    <sheet name="Summary" sheetId="2" r:id="rId1"/>
    <sheet name="California" sheetId="15" r:id="rId2"/>
    <sheet name="Gateway" sheetId="1" r:id="rId3"/>
    <sheet name="All Other Regions" sheetId="16" r:id="rId4"/>
    <sheet name="Central Coast" sheetId="3" r:id="rId5"/>
    <sheet name="Central Valley" sheetId="4" r:id="rId6"/>
    <sheet name="Deserts" sheetId="5" r:id="rId7"/>
    <sheet name="Gold Country" sheetId="6" r:id="rId8"/>
    <sheet name="High Siera" sheetId="7" r:id="rId9"/>
    <sheet name="Inland Empire" sheetId="8" r:id="rId10"/>
    <sheet name="Los Angeles" sheetId="9" r:id="rId11"/>
    <sheet name="North Coast" sheetId="10" r:id="rId12"/>
    <sheet name="Orange County" sheetId="11" r:id="rId13"/>
    <sheet name="Shasta Cascade" sheetId="12" r:id="rId14"/>
    <sheet name="San Diego" sheetId="13" r:id="rId15"/>
    <sheet name="San Francisco Bay Area" sheetId="14" r:id="rId16"/>
  </sheets>
  <definedNames>
    <definedName name="cur_scenario">#REF!</definedName>
    <definedName name="model_columns">#REF!</definedName>
    <definedName name="model_data">#REF!</definedName>
    <definedName name="model_rows">#REF!</definedName>
    <definedName name="scn_columns">#REF!</definedName>
    <definedName name="scn_data">#REF!</definedName>
    <definedName name="scn_row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1" i="2" l="1"/>
  <c r="E51" i="2"/>
  <c r="F51" i="2"/>
  <c r="G51" i="2"/>
  <c r="H51" i="2"/>
  <c r="I51" i="2"/>
  <c r="J51" i="2"/>
  <c r="K51" i="2"/>
  <c r="L51" i="2"/>
  <c r="M51" i="2"/>
  <c r="D52" i="2"/>
  <c r="E52" i="2"/>
  <c r="F52" i="2"/>
  <c r="G52" i="2"/>
  <c r="H52" i="2"/>
  <c r="I52" i="2"/>
  <c r="J52" i="2"/>
  <c r="K52" i="2"/>
  <c r="L52" i="2"/>
  <c r="M52" i="2"/>
  <c r="C52" i="2"/>
  <c r="C51" i="2"/>
  <c r="D9" i="2"/>
  <c r="E9" i="2"/>
  <c r="F9" i="2"/>
  <c r="G9" i="2"/>
  <c r="D10" i="2"/>
  <c r="E10" i="2"/>
  <c r="F10" i="2"/>
  <c r="G10" i="2"/>
  <c r="C9" i="2"/>
  <c r="C10" i="2"/>
  <c r="K39" i="16"/>
  <c r="L39" i="16"/>
  <c r="M39" i="16"/>
  <c r="N39" i="16"/>
  <c r="O39" i="16"/>
  <c r="P39" i="16"/>
  <c r="K39" i="1"/>
  <c r="L39" i="1"/>
  <c r="M39" i="1"/>
  <c r="N39" i="1"/>
  <c r="O39" i="1"/>
  <c r="P39" i="1"/>
  <c r="K39" i="15"/>
  <c r="L39" i="15"/>
  <c r="M39" i="15"/>
  <c r="N39" i="15"/>
  <c r="O39" i="15"/>
  <c r="P39" i="15"/>
  <c r="K39" i="14"/>
  <c r="L39" i="14"/>
  <c r="M39" i="14"/>
  <c r="N39" i="14"/>
  <c r="O39" i="14"/>
  <c r="P39" i="14"/>
  <c r="K39" i="13"/>
  <c r="L39" i="13"/>
  <c r="M39" i="13"/>
  <c r="N39" i="13"/>
  <c r="O39" i="13"/>
  <c r="P39" i="13"/>
  <c r="K39" i="12"/>
  <c r="L39" i="12"/>
  <c r="M39" i="12"/>
  <c r="N39" i="12"/>
  <c r="O39" i="12"/>
  <c r="P39" i="12"/>
  <c r="S21" i="12"/>
  <c r="K39" i="11"/>
  <c r="L39" i="11"/>
  <c r="M39" i="11"/>
  <c r="N39" i="11"/>
  <c r="O39" i="11"/>
  <c r="P39" i="11"/>
  <c r="K39" i="10"/>
  <c r="L39" i="10"/>
  <c r="M39" i="10"/>
  <c r="N39" i="10"/>
  <c r="O39" i="10"/>
  <c r="P39" i="10"/>
  <c r="K39" i="9"/>
  <c r="L39" i="9"/>
  <c r="M39" i="9"/>
  <c r="N39" i="9"/>
  <c r="O39" i="9"/>
  <c r="P39" i="9"/>
  <c r="K39" i="8"/>
  <c r="L39" i="8"/>
  <c r="M39" i="8"/>
  <c r="N39" i="8"/>
  <c r="O39" i="8"/>
  <c r="P39" i="8"/>
  <c r="K39" i="7"/>
  <c r="L39" i="7"/>
  <c r="M39" i="7"/>
  <c r="N39" i="7"/>
  <c r="O39" i="7"/>
  <c r="P39" i="7"/>
  <c r="K39" i="6"/>
  <c r="L39" i="6"/>
  <c r="M39" i="6"/>
  <c r="N39" i="6"/>
  <c r="O39" i="6"/>
  <c r="P39" i="6"/>
  <c r="K39" i="5"/>
  <c r="L39" i="5"/>
  <c r="M39" i="5"/>
  <c r="N39" i="5"/>
  <c r="O39" i="5"/>
  <c r="P39" i="5"/>
  <c r="K39" i="4"/>
  <c r="L39" i="4"/>
  <c r="M39" i="4"/>
  <c r="N39" i="4"/>
  <c r="O39" i="4"/>
  <c r="P39" i="4"/>
  <c r="K39" i="3"/>
  <c r="L39" i="3"/>
  <c r="M39" i="3"/>
  <c r="N39" i="3"/>
  <c r="O39" i="3"/>
  <c r="P39" i="3"/>
  <c r="U21" i="15"/>
  <c r="U21" i="14"/>
  <c r="U21" i="13"/>
  <c r="U21" i="12"/>
  <c r="U21" i="11"/>
  <c r="U21" i="10"/>
  <c r="U21" i="9"/>
  <c r="U21" i="8"/>
  <c r="U21" i="7"/>
  <c r="U21" i="6"/>
  <c r="U21" i="5"/>
  <c r="U21" i="4"/>
  <c r="U21" i="3"/>
  <c r="S21" i="15"/>
  <c r="S21" i="14"/>
  <c r="S21" i="13"/>
  <c r="S21" i="11"/>
  <c r="S21" i="10"/>
  <c r="S21" i="9"/>
  <c r="S21" i="8"/>
  <c r="S21" i="7"/>
  <c r="S21" i="6"/>
  <c r="S21" i="5"/>
  <c r="S21" i="4"/>
  <c r="S21" i="3"/>
  <c r="R21" i="15"/>
  <c r="R21" i="14"/>
  <c r="R21" i="13"/>
  <c r="R21" i="12"/>
  <c r="R21" i="11"/>
  <c r="R21" i="10"/>
  <c r="R21" i="9"/>
  <c r="R21" i="8"/>
  <c r="R21" i="7"/>
  <c r="R21" i="6"/>
  <c r="R21" i="5"/>
  <c r="R21" i="4"/>
  <c r="R21" i="3"/>
  <c r="J32" i="3"/>
  <c r="J31" i="3"/>
  <c r="J30" i="3"/>
  <c r="J29" i="3"/>
  <c r="B32" i="3"/>
  <c r="B31" i="3"/>
  <c r="B30" i="3"/>
  <c r="B29" i="3"/>
  <c r="J32" i="4"/>
  <c r="J31" i="4"/>
  <c r="J30" i="4"/>
  <c r="J29" i="4"/>
  <c r="B32" i="4"/>
  <c r="B31" i="4"/>
  <c r="B30" i="4"/>
  <c r="B29" i="4"/>
  <c r="J32" i="5"/>
  <c r="J31" i="5"/>
  <c r="J30" i="5"/>
  <c r="J29" i="5"/>
  <c r="B32" i="5"/>
  <c r="B31" i="5"/>
  <c r="B30" i="5"/>
  <c r="B29" i="5"/>
  <c r="J32" i="6"/>
  <c r="J31" i="6"/>
  <c r="J30" i="6"/>
  <c r="J29" i="6"/>
  <c r="B32" i="6"/>
  <c r="B31" i="6"/>
  <c r="B30" i="6"/>
  <c r="B29" i="6"/>
  <c r="J32" i="7"/>
  <c r="J31" i="7"/>
  <c r="J30" i="7"/>
  <c r="J29" i="7"/>
  <c r="B32" i="7"/>
  <c r="B31" i="7"/>
  <c r="B30" i="7"/>
  <c r="B29" i="7"/>
  <c r="J32" i="8"/>
  <c r="J31" i="8"/>
  <c r="J30" i="8"/>
  <c r="J29" i="8"/>
  <c r="B32" i="8"/>
  <c r="B31" i="8"/>
  <c r="B30" i="8"/>
  <c r="B29" i="8"/>
  <c r="J32" i="9"/>
  <c r="J31" i="9"/>
  <c r="J30" i="9"/>
  <c r="J29" i="9"/>
  <c r="B32" i="9"/>
  <c r="B31" i="9"/>
  <c r="B30" i="9"/>
  <c r="B29" i="9"/>
  <c r="J32" i="10"/>
  <c r="J31" i="10"/>
  <c r="J30" i="10"/>
  <c r="J29" i="10"/>
  <c r="B32" i="10"/>
  <c r="B31" i="10"/>
  <c r="B30" i="10"/>
  <c r="B29" i="10"/>
  <c r="J32" i="11"/>
  <c r="J31" i="11"/>
  <c r="J30" i="11"/>
  <c r="J29" i="11"/>
  <c r="B32" i="11"/>
  <c r="B31" i="11"/>
  <c r="B30" i="11"/>
  <c r="B29" i="11"/>
  <c r="J32" i="12"/>
  <c r="J31" i="12"/>
  <c r="J30" i="12"/>
  <c r="J29" i="12"/>
  <c r="B32" i="12"/>
  <c r="B31" i="12"/>
  <c r="B30" i="12"/>
  <c r="B29" i="12"/>
  <c r="J32" i="13"/>
  <c r="J31" i="13"/>
  <c r="J30" i="13"/>
  <c r="J29" i="13"/>
  <c r="B32" i="13"/>
  <c r="B31" i="13"/>
  <c r="B30" i="13"/>
  <c r="B29" i="13"/>
  <c r="K38" i="16"/>
  <c r="L38" i="16"/>
  <c r="M38" i="16"/>
  <c r="N38" i="16"/>
  <c r="O38" i="16"/>
  <c r="P38" i="16"/>
  <c r="K38" i="1"/>
  <c r="L38" i="1"/>
  <c r="M38" i="1"/>
  <c r="N38" i="1"/>
  <c r="O38" i="1"/>
  <c r="P38" i="1"/>
  <c r="K38" i="15"/>
  <c r="L38" i="15"/>
  <c r="M38" i="15"/>
  <c r="N38" i="15"/>
  <c r="O38" i="15"/>
  <c r="P38" i="15"/>
  <c r="K38" i="14"/>
  <c r="L38" i="14"/>
  <c r="M38" i="14"/>
  <c r="N38" i="14"/>
  <c r="O38" i="14"/>
  <c r="P38" i="14"/>
  <c r="K38" i="13"/>
  <c r="L38" i="13"/>
  <c r="M38" i="13"/>
  <c r="N38" i="13"/>
  <c r="O38" i="13"/>
  <c r="P38" i="13"/>
  <c r="K38" i="12"/>
  <c r="L38" i="12"/>
  <c r="M38" i="12"/>
  <c r="N38" i="12"/>
  <c r="O38" i="12"/>
  <c r="P38" i="12"/>
  <c r="K38" i="11"/>
  <c r="L38" i="11"/>
  <c r="M38" i="11"/>
  <c r="N38" i="11"/>
  <c r="O38" i="11"/>
  <c r="P38" i="11"/>
  <c r="K38" i="10"/>
  <c r="L38" i="10"/>
  <c r="M38" i="10"/>
  <c r="N38" i="10"/>
  <c r="O38" i="10"/>
  <c r="P38" i="10"/>
  <c r="K38" i="9"/>
  <c r="L38" i="9"/>
  <c r="M38" i="9"/>
  <c r="N38" i="9"/>
  <c r="O38" i="9"/>
  <c r="P38" i="9"/>
  <c r="K38" i="8"/>
  <c r="L38" i="8"/>
  <c r="M38" i="8"/>
  <c r="N38" i="8"/>
  <c r="O38" i="8"/>
  <c r="P38" i="8"/>
  <c r="K38" i="7"/>
  <c r="L38" i="7"/>
  <c r="M38" i="7"/>
  <c r="N38" i="7"/>
  <c r="O38" i="7"/>
  <c r="P38" i="7"/>
  <c r="K38" i="6"/>
  <c r="L38" i="6"/>
  <c r="M38" i="6"/>
  <c r="N38" i="6"/>
  <c r="O38" i="6"/>
  <c r="P38" i="6"/>
  <c r="K38" i="5"/>
  <c r="L38" i="5"/>
  <c r="M38" i="5"/>
  <c r="N38" i="5"/>
  <c r="O38" i="5"/>
  <c r="P38" i="5"/>
  <c r="K38" i="4"/>
  <c r="L38" i="4"/>
  <c r="M38" i="4"/>
  <c r="N38" i="4"/>
  <c r="O38" i="4"/>
  <c r="P38" i="4"/>
  <c r="K38" i="3"/>
  <c r="L38" i="3"/>
  <c r="M38" i="3"/>
  <c r="N38" i="3"/>
  <c r="O38" i="3"/>
  <c r="P38" i="3"/>
  <c r="K37" i="16" l="1"/>
  <c r="L37" i="16"/>
  <c r="M37" i="16"/>
  <c r="N37" i="16"/>
  <c r="O37" i="16"/>
  <c r="P37" i="16"/>
  <c r="K37" i="1"/>
  <c r="L37" i="1"/>
  <c r="M37" i="1"/>
  <c r="N37" i="1"/>
  <c r="O37" i="1"/>
  <c r="P37" i="1"/>
  <c r="K37" i="15"/>
  <c r="L37" i="15"/>
  <c r="M37" i="15"/>
  <c r="N37" i="15"/>
  <c r="O37" i="15"/>
  <c r="P37" i="15"/>
  <c r="K37" i="14"/>
  <c r="L37" i="14"/>
  <c r="M37" i="14"/>
  <c r="N37" i="14"/>
  <c r="O37" i="14"/>
  <c r="P37" i="14"/>
  <c r="K37" i="13"/>
  <c r="L37" i="13"/>
  <c r="M37" i="13"/>
  <c r="N37" i="13"/>
  <c r="O37" i="13"/>
  <c r="P37" i="13"/>
  <c r="K37" i="12"/>
  <c r="L37" i="12"/>
  <c r="M37" i="12"/>
  <c r="N37" i="12"/>
  <c r="O37" i="12"/>
  <c r="P37" i="12"/>
  <c r="K37" i="11"/>
  <c r="L37" i="11"/>
  <c r="M37" i="11"/>
  <c r="N37" i="11"/>
  <c r="O37" i="11"/>
  <c r="P37" i="11"/>
  <c r="K37" i="10"/>
  <c r="L37" i="10"/>
  <c r="M37" i="10"/>
  <c r="N37" i="10"/>
  <c r="O37" i="10"/>
  <c r="P37" i="10"/>
  <c r="K37" i="9"/>
  <c r="L37" i="9"/>
  <c r="M37" i="9"/>
  <c r="N37" i="9"/>
  <c r="O37" i="9"/>
  <c r="P37" i="9"/>
  <c r="K37" i="8"/>
  <c r="L37" i="8"/>
  <c r="M37" i="8"/>
  <c r="N37" i="8"/>
  <c r="O37" i="8"/>
  <c r="P37" i="8"/>
  <c r="K37" i="7"/>
  <c r="L37" i="7"/>
  <c r="M37" i="7"/>
  <c r="N37" i="7"/>
  <c r="O37" i="7"/>
  <c r="P37" i="7"/>
  <c r="K37" i="6"/>
  <c r="L37" i="6"/>
  <c r="M37" i="6"/>
  <c r="N37" i="6"/>
  <c r="O37" i="6"/>
  <c r="P37" i="6"/>
  <c r="K37" i="5"/>
  <c r="L37" i="5"/>
  <c r="M37" i="5"/>
  <c r="N37" i="5"/>
  <c r="O37" i="5"/>
  <c r="P37" i="5"/>
  <c r="K37" i="4"/>
  <c r="L37" i="4"/>
  <c r="M37" i="4"/>
  <c r="N37" i="4"/>
  <c r="O37" i="4"/>
  <c r="P37" i="4"/>
  <c r="K37" i="3"/>
  <c r="L37" i="3"/>
  <c r="M37" i="3"/>
  <c r="N37" i="3"/>
  <c r="O37" i="3"/>
  <c r="P37" i="3"/>
  <c r="H16" i="14" l="1"/>
  <c r="H16" i="13"/>
  <c r="H15" i="10"/>
  <c r="H15" i="9"/>
  <c r="H15" i="12"/>
  <c r="H15" i="13"/>
  <c r="H15" i="7"/>
  <c r="H15" i="14"/>
  <c r="H16" i="12"/>
  <c r="H15" i="4"/>
  <c r="H16" i="6"/>
  <c r="H15" i="15"/>
  <c r="H16" i="7"/>
  <c r="H16" i="11"/>
  <c r="H15" i="8"/>
  <c r="H15" i="5"/>
  <c r="H15" i="11"/>
  <c r="H16" i="9"/>
  <c r="H16" i="15"/>
  <c r="H16" i="10"/>
  <c r="H16" i="8"/>
  <c r="H15" i="6"/>
  <c r="K36" i="16"/>
  <c r="L36" i="16"/>
  <c r="M36" i="16"/>
  <c r="N36" i="16"/>
  <c r="O36" i="16"/>
  <c r="P36" i="16"/>
  <c r="K36" i="1"/>
  <c r="L36" i="1"/>
  <c r="M36" i="1"/>
  <c r="N36" i="1"/>
  <c r="O36" i="1"/>
  <c r="P36" i="1"/>
  <c r="K36" i="15"/>
  <c r="L36" i="15"/>
  <c r="M36" i="15"/>
  <c r="N36" i="15"/>
  <c r="O36" i="15"/>
  <c r="P36" i="15"/>
  <c r="K36" i="14"/>
  <c r="L36" i="14"/>
  <c r="M36" i="14"/>
  <c r="N36" i="14"/>
  <c r="O36" i="14"/>
  <c r="P36" i="14"/>
  <c r="K36" i="13"/>
  <c r="L36" i="13"/>
  <c r="M36" i="13"/>
  <c r="N36" i="13"/>
  <c r="O36" i="13"/>
  <c r="P36" i="13"/>
  <c r="K36" i="12"/>
  <c r="L36" i="12"/>
  <c r="M36" i="12"/>
  <c r="N36" i="12"/>
  <c r="O36" i="12"/>
  <c r="P36" i="12"/>
  <c r="K36" i="11"/>
  <c r="L36" i="11"/>
  <c r="M36" i="11"/>
  <c r="N36" i="11"/>
  <c r="O36" i="11"/>
  <c r="P36" i="11"/>
  <c r="K36" i="10"/>
  <c r="L36" i="10"/>
  <c r="M36" i="10"/>
  <c r="N36" i="10"/>
  <c r="O36" i="10"/>
  <c r="P36" i="10"/>
  <c r="K36" i="9"/>
  <c r="L36" i="9"/>
  <c r="M36" i="9"/>
  <c r="N36" i="9"/>
  <c r="O36" i="9"/>
  <c r="P36" i="9"/>
  <c r="K36" i="8"/>
  <c r="L36" i="8"/>
  <c r="M36" i="8"/>
  <c r="N36" i="8"/>
  <c r="O36" i="8"/>
  <c r="P36" i="8"/>
  <c r="K36" i="7"/>
  <c r="L36" i="7"/>
  <c r="M36" i="7"/>
  <c r="N36" i="7"/>
  <c r="O36" i="7"/>
  <c r="P36" i="7"/>
  <c r="K36" i="6"/>
  <c r="L36" i="6"/>
  <c r="M36" i="6"/>
  <c r="N36" i="6"/>
  <c r="O36" i="6"/>
  <c r="P36" i="6"/>
  <c r="K36" i="5"/>
  <c r="L36" i="5"/>
  <c r="M36" i="5"/>
  <c r="N36" i="5"/>
  <c r="O36" i="5"/>
  <c r="P36" i="5"/>
  <c r="P36" i="4"/>
  <c r="O36" i="4"/>
  <c r="N36" i="4"/>
  <c r="M36" i="4"/>
  <c r="L36" i="4"/>
  <c r="K36" i="4"/>
  <c r="K36" i="3"/>
  <c r="L36" i="3"/>
  <c r="M36" i="3"/>
  <c r="N36" i="3"/>
  <c r="O36" i="3"/>
  <c r="P36" i="3"/>
  <c r="H15" i="1" l="1"/>
  <c r="B1" i="16" l="1"/>
  <c r="B31" i="16"/>
  <c r="B30" i="16"/>
  <c r="B29" i="16"/>
  <c r="B1" i="1"/>
  <c r="B30" i="1"/>
  <c r="B29" i="1"/>
  <c r="B32" i="16" l="1"/>
  <c r="B31" i="1"/>
  <c r="B32" i="1"/>
  <c r="B31" i="15"/>
  <c r="B30" i="15"/>
  <c r="B29" i="15"/>
  <c r="B31" i="14"/>
  <c r="B30" i="14"/>
  <c r="B29" i="14"/>
  <c r="B32" i="14" l="1"/>
  <c r="B32" i="15"/>
  <c r="L29" i="15" l="1"/>
  <c r="M29" i="15"/>
  <c r="N29" i="15"/>
  <c r="O29" i="15"/>
  <c r="P29" i="15"/>
  <c r="M29" i="3" l="1"/>
  <c r="N29" i="3"/>
  <c r="P29" i="3"/>
  <c r="O29" i="5"/>
  <c r="O29" i="6"/>
  <c r="O29" i="7"/>
  <c r="O29" i="3"/>
  <c r="O29" i="4"/>
  <c r="M29" i="4"/>
  <c r="K29" i="3"/>
  <c r="L29" i="3"/>
  <c r="N29" i="4"/>
  <c r="N29" i="5"/>
  <c r="M29" i="5"/>
  <c r="M29" i="6"/>
  <c r="M29" i="7"/>
  <c r="M29" i="8"/>
  <c r="L29" i="4"/>
  <c r="L29" i="5"/>
  <c r="L29" i="6"/>
  <c r="K29" i="4"/>
  <c r="K29" i="5"/>
  <c r="K29" i="6"/>
  <c r="M29" i="9"/>
  <c r="M29" i="10"/>
  <c r="M29" i="12"/>
  <c r="M29" i="13"/>
  <c r="L29" i="7"/>
  <c r="L29" i="8"/>
  <c r="L29" i="10"/>
  <c r="L29" i="11"/>
  <c r="L29" i="12"/>
  <c r="L29" i="13"/>
  <c r="K29" i="7"/>
  <c r="K29" i="8"/>
  <c r="K29" i="10"/>
  <c r="K29" i="11"/>
  <c r="K29" i="12"/>
  <c r="K29" i="13"/>
  <c r="K29" i="14"/>
  <c r="P31" i="3"/>
  <c r="N34" i="3"/>
  <c r="O34" i="4"/>
  <c r="K32" i="4"/>
  <c r="O34" i="5"/>
  <c r="K32" i="5"/>
  <c r="O34" i="6"/>
  <c r="K32" i="6"/>
  <c r="O34" i="7"/>
  <c r="K32" i="7"/>
  <c r="O34" i="8"/>
  <c r="K32" i="8"/>
  <c r="O34" i="9"/>
  <c r="K32" i="9"/>
  <c r="O34" i="10"/>
  <c r="K32" i="10"/>
  <c r="O34" i="11"/>
  <c r="K32" i="11"/>
  <c r="M29" i="11"/>
  <c r="O34" i="12"/>
  <c r="K32" i="12"/>
  <c r="O34" i="13"/>
  <c r="K32" i="13"/>
  <c r="O34" i="14"/>
  <c r="K32" i="14"/>
  <c r="M29" i="14"/>
  <c r="O34" i="15"/>
  <c r="K32" i="15"/>
  <c r="K32" i="3"/>
  <c r="O34" i="3"/>
  <c r="N34" i="4"/>
  <c r="P31" i="4"/>
  <c r="N34" i="5"/>
  <c r="P31" i="5"/>
  <c r="N34" i="6"/>
  <c r="P31" i="6"/>
  <c r="N34" i="7"/>
  <c r="P31" i="7"/>
  <c r="N34" i="8"/>
  <c r="P31" i="8"/>
  <c r="N34" i="9"/>
  <c r="P31" i="9"/>
  <c r="L29" i="9"/>
  <c r="N34" i="10"/>
  <c r="P31" i="10"/>
  <c r="N34" i="11"/>
  <c r="P31" i="11"/>
  <c r="N34" i="12"/>
  <c r="P31" i="12"/>
  <c r="N34" i="13"/>
  <c r="P31" i="13"/>
  <c r="N34" i="14"/>
  <c r="P31" i="14"/>
  <c r="L29" i="14"/>
  <c r="N34" i="15"/>
  <c r="P31" i="15"/>
  <c r="L32" i="3"/>
  <c r="P34" i="3"/>
  <c r="M34" i="4"/>
  <c r="O31" i="4"/>
  <c r="M34" i="5"/>
  <c r="O31" i="5"/>
  <c r="M34" i="6"/>
  <c r="O31" i="6"/>
  <c r="M34" i="7"/>
  <c r="O31" i="7"/>
  <c r="M34" i="8"/>
  <c r="O31" i="8"/>
  <c r="M34" i="9"/>
  <c r="O31" i="9"/>
  <c r="K29" i="9"/>
  <c r="M34" i="10"/>
  <c r="O31" i="10"/>
  <c r="M34" i="11"/>
  <c r="O31" i="11"/>
  <c r="M34" i="12"/>
  <c r="O31" i="12"/>
  <c r="M34" i="13"/>
  <c r="O31" i="13"/>
  <c r="M34" i="14"/>
  <c r="O31" i="14"/>
  <c r="M34" i="15"/>
  <c r="O31" i="15"/>
  <c r="K30" i="15"/>
  <c r="L34" i="12"/>
  <c r="L34" i="14"/>
  <c r="N32" i="3"/>
  <c r="K34" i="4"/>
  <c r="M31" i="4"/>
  <c r="K34" i="5"/>
  <c r="M31" i="5"/>
  <c r="K34" i="6"/>
  <c r="M31" i="6"/>
  <c r="K34" i="7"/>
  <c r="M31" i="7"/>
  <c r="K34" i="8"/>
  <c r="M31" i="8"/>
  <c r="K34" i="9"/>
  <c r="M31" i="9"/>
  <c r="K34" i="10"/>
  <c r="M31" i="10"/>
  <c r="K34" i="11"/>
  <c r="M31" i="11"/>
  <c r="K34" i="12"/>
  <c r="M31" i="12"/>
  <c r="K34" i="13"/>
  <c r="M31" i="13"/>
  <c r="K34" i="14"/>
  <c r="M31" i="14"/>
  <c r="K34" i="15"/>
  <c r="M31" i="15"/>
  <c r="N31" i="5"/>
  <c r="L34" i="10"/>
  <c r="K30" i="3"/>
  <c r="O32" i="3"/>
  <c r="P33" i="4"/>
  <c r="L31" i="4"/>
  <c r="P33" i="5"/>
  <c r="L31" i="5"/>
  <c r="P33" i="6"/>
  <c r="L31" i="6"/>
  <c r="P33" i="7"/>
  <c r="L31" i="7"/>
  <c r="P33" i="8"/>
  <c r="L31" i="8"/>
  <c r="P33" i="9"/>
  <c r="L31" i="9"/>
  <c r="P33" i="10"/>
  <c r="L31" i="10"/>
  <c r="P33" i="11"/>
  <c r="L31" i="11"/>
  <c r="P33" i="12"/>
  <c r="L31" i="12"/>
  <c r="P33" i="13"/>
  <c r="L31" i="13"/>
  <c r="P33" i="14"/>
  <c r="L31" i="14"/>
  <c r="P33" i="15"/>
  <c r="L31" i="15"/>
  <c r="L34" i="4"/>
  <c r="L34" i="7"/>
  <c r="N31" i="10"/>
  <c r="N31" i="15"/>
  <c r="L30" i="3"/>
  <c r="P32" i="3"/>
  <c r="O33" i="4"/>
  <c r="K31" i="4"/>
  <c r="O33" i="5"/>
  <c r="K31" i="5"/>
  <c r="O33" i="6"/>
  <c r="K31" i="6"/>
  <c r="O33" i="7"/>
  <c r="K31" i="7"/>
  <c r="O33" i="8"/>
  <c r="K31" i="8"/>
  <c r="O33" i="9"/>
  <c r="K31" i="9"/>
  <c r="O33" i="10"/>
  <c r="K31" i="10"/>
  <c r="O33" i="11"/>
  <c r="K31" i="11"/>
  <c r="O33" i="12"/>
  <c r="K31" i="12"/>
  <c r="O33" i="13"/>
  <c r="K31" i="13"/>
  <c r="O33" i="14"/>
  <c r="K31" i="14"/>
  <c r="O33" i="15"/>
  <c r="K31" i="15"/>
  <c r="N31" i="8"/>
  <c r="M30" i="3"/>
  <c r="K33" i="3"/>
  <c r="N33" i="4"/>
  <c r="P30" i="4"/>
  <c r="N33" i="5"/>
  <c r="P30" i="5"/>
  <c r="N33" i="6"/>
  <c r="P30" i="6"/>
  <c r="N33" i="7"/>
  <c r="P30" i="7"/>
  <c r="N33" i="8"/>
  <c r="P30" i="8"/>
  <c r="N33" i="9"/>
  <c r="P30" i="9"/>
  <c r="N33" i="10"/>
  <c r="P30" i="10"/>
  <c r="N33" i="11"/>
  <c r="P30" i="11"/>
  <c r="N33" i="12"/>
  <c r="P30" i="12"/>
  <c r="N33" i="13"/>
  <c r="P30" i="13"/>
  <c r="N33" i="14"/>
  <c r="P30" i="14"/>
  <c r="N33" i="15"/>
  <c r="P30" i="15"/>
  <c r="L34" i="8"/>
  <c r="N30" i="3"/>
  <c r="L33" i="3"/>
  <c r="M33" i="4"/>
  <c r="O30" i="4"/>
  <c r="M33" i="5"/>
  <c r="O30" i="5"/>
  <c r="M33" i="6"/>
  <c r="O30" i="6"/>
  <c r="M33" i="7"/>
  <c r="O30" i="7"/>
  <c r="M33" i="8"/>
  <c r="O30" i="8"/>
  <c r="M33" i="9"/>
  <c r="O30" i="9"/>
  <c r="M33" i="10"/>
  <c r="O30" i="10"/>
  <c r="M33" i="11"/>
  <c r="O30" i="11"/>
  <c r="M33" i="12"/>
  <c r="O30" i="12"/>
  <c r="M33" i="13"/>
  <c r="O30" i="13"/>
  <c r="M33" i="14"/>
  <c r="O30" i="14"/>
  <c r="M33" i="15"/>
  <c r="O30" i="15"/>
  <c r="M32" i="3"/>
  <c r="O30" i="3"/>
  <c r="M33" i="3"/>
  <c r="L33" i="4"/>
  <c r="N30" i="4"/>
  <c r="L33" i="5"/>
  <c r="N30" i="5"/>
  <c r="L33" i="6"/>
  <c r="N30" i="6"/>
  <c r="L33" i="7"/>
  <c r="N30" i="7"/>
  <c r="P35" i="8"/>
  <c r="L33" i="8"/>
  <c r="N30" i="8"/>
  <c r="L33" i="9"/>
  <c r="N30" i="9"/>
  <c r="L33" i="10"/>
  <c r="N30" i="10"/>
  <c r="L33" i="11"/>
  <c r="N30" i="11"/>
  <c r="L33" i="12"/>
  <c r="N30" i="12"/>
  <c r="L33" i="13"/>
  <c r="N30" i="13"/>
  <c r="L33" i="14"/>
  <c r="N30" i="14"/>
  <c r="L33" i="15"/>
  <c r="N30" i="15"/>
  <c r="N31" i="9"/>
  <c r="N31" i="12"/>
  <c r="L34" i="15"/>
  <c r="P30" i="3"/>
  <c r="N33" i="3"/>
  <c r="K33" i="4"/>
  <c r="M30" i="4"/>
  <c r="K33" i="5"/>
  <c r="M30" i="5"/>
  <c r="K33" i="6"/>
  <c r="M30" i="6"/>
  <c r="K33" i="7"/>
  <c r="M30" i="7"/>
  <c r="K33" i="8"/>
  <c r="M30" i="8"/>
  <c r="K33" i="9"/>
  <c r="M30" i="9"/>
  <c r="K33" i="10"/>
  <c r="M30" i="10"/>
  <c r="K33" i="11"/>
  <c r="K33" i="12"/>
  <c r="M30" i="12"/>
  <c r="K33" i="13"/>
  <c r="M30" i="13"/>
  <c r="K33" i="14"/>
  <c r="K33" i="15"/>
  <c r="M30" i="15"/>
  <c r="L34" i="13"/>
  <c r="K31" i="3"/>
  <c r="O33" i="3"/>
  <c r="P32" i="4"/>
  <c r="L30" i="4"/>
  <c r="P32" i="5"/>
  <c r="L30" i="5"/>
  <c r="P32" i="6"/>
  <c r="L30" i="6"/>
  <c r="N35" i="7"/>
  <c r="P32" i="7"/>
  <c r="L30" i="7"/>
  <c r="P32" i="8"/>
  <c r="L30" i="8"/>
  <c r="P32" i="9"/>
  <c r="L30" i="9"/>
  <c r="P32" i="10"/>
  <c r="L30" i="10"/>
  <c r="P32" i="11"/>
  <c r="L30" i="11"/>
  <c r="P32" i="12"/>
  <c r="L30" i="12"/>
  <c r="P32" i="13"/>
  <c r="L30" i="13"/>
  <c r="P32" i="14"/>
  <c r="P32" i="15"/>
  <c r="L30" i="15"/>
  <c r="L34" i="5"/>
  <c r="N31" i="6"/>
  <c r="L34" i="11"/>
  <c r="N31" i="13"/>
  <c r="L31" i="3"/>
  <c r="P33" i="3"/>
  <c r="O32" i="4"/>
  <c r="K30" i="4"/>
  <c r="O32" i="5"/>
  <c r="K30" i="5"/>
  <c r="O32" i="6"/>
  <c r="K30" i="6"/>
  <c r="O32" i="7"/>
  <c r="K30" i="7"/>
  <c r="O32" i="8"/>
  <c r="K30" i="8"/>
  <c r="O32" i="9"/>
  <c r="K30" i="9"/>
  <c r="O32" i="10"/>
  <c r="K30" i="10"/>
  <c r="M35" i="11"/>
  <c r="O32" i="11"/>
  <c r="K30" i="11"/>
  <c r="O32" i="12"/>
  <c r="K30" i="12"/>
  <c r="O32" i="13"/>
  <c r="K30" i="13"/>
  <c r="M35" i="14"/>
  <c r="O32" i="14"/>
  <c r="K30" i="14"/>
  <c r="O32" i="15"/>
  <c r="M31" i="3"/>
  <c r="K34" i="3"/>
  <c r="N32" i="4"/>
  <c r="P29" i="4"/>
  <c r="N32" i="5"/>
  <c r="P29" i="5"/>
  <c r="N32" i="6"/>
  <c r="P29" i="6"/>
  <c r="N32" i="7"/>
  <c r="P29" i="7"/>
  <c r="N32" i="8"/>
  <c r="P29" i="8"/>
  <c r="N32" i="9"/>
  <c r="P29" i="9"/>
  <c r="N32" i="10"/>
  <c r="P29" i="10"/>
  <c r="N32" i="11"/>
  <c r="P29" i="11"/>
  <c r="N32" i="12"/>
  <c r="P29" i="12"/>
  <c r="N32" i="13"/>
  <c r="P29" i="13"/>
  <c r="L35" i="14"/>
  <c r="N32" i="14"/>
  <c r="P29" i="14"/>
  <c r="N32" i="15"/>
  <c r="N31" i="4"/>
  <c r="N31" i="7"/>
  <c r="N31" i="11"/>
  <c r="N31" i="14"/>
  <c r="N31" i="3"/>
  <c r="L34" i="3"/>
  <c r="M32" i="4"/>
  <c r="K35" i="5"/>
  <c r="M32" i="5"/>
  <c r="M32" i="6"/>
  <c r="M32" i="7"/>
  <c r="M32" i="8"/>
  <c r="O29" i="8"/>
  <c r="M32" i="9"/>
  <c r="O29" i="9"/>
  <c r="M32" i="10"/>
  <c r="O29" i="10"/>
  <c r="M32" i="11"/>
  <c r="O29" i="11"/>
  <c r="M32" i="12"/>
  <c r="O29" i="12"/>
  <c r="M32" i="13"/>
  <c r="O29" i="13"/>
  <c r="K35" i="14"/>
  <c r="M32" i="14"/>
  <c r="O29" i="14"/>
  <c r="K35" i="15"/>
  <c r="M32" i="15"/>
  <c r="L34" i="6"/>
  <c r="L34" i="9"/>
  <c r="O31" i="3"/>
  <c r="M34" i="3"/>
  <c r="P34" i="4"/>
  <c r="L32" i="4"/>
  <c r="P34" i="5"/>
  <c r="L32" i="5"/>
  <c r="P34" i="6"/>
  <c r="L32" i="6"/>
  <c r="N29" i="6"/>
  <c r="P34" i="7"/>
  <c r="L32" i="7"/>
  <c r="N29" i="7"/>
  <c r="P34" i="8"/>
  <c r="L32" i="8"/>
  <c r="N29" i="8"/>
  <c r="P34" i="9"/>
  <c r="L32" i="9"/>
  <c r="N29" i="9"/>
  <c r="P34" i="10"/>
  <c r="L32" i="10"/>
  <c r="N29" i="10"/>
  <c r="P34" i="11"/>
  <c r="L32" i="11"/>
  <c r="N29" i="11"/>
  <c r="P34" i="12"/>
  <c r="L32" i="12"/>
  <c r="N29" i="12"/>
  <c r="P34" i="13"/>
  <c r="L32" i="13"/>
  <c r="N29" i="13"/>
  <c r="P34" i="14"/>
  <c r="L32" i="14"/>
  <c r="N29" i="14"/>
  <c r="P34" i="15"/>
  <c r="L32" i="15"/>
  <c r="M30" i="14" l="1"/>
  <c r="M30" i="11"/>
  <c r="K29" i="1"/>
  <c r="L30" i="14"/>
  <c r="K35" i="7"/>
  <c r="L35" i="11"/>
  <c r="L35" i="8"/>
  <c r="M35" i="15"/>
  <c r="O35" i="11"/>
  <c r="P35" i="9"/>
  <c r="K30" i="1"/>
  <c r="M35" i="7"/>
  <c r="P35" i="14"/>
  <c r="O35" i="3"/>
  <c r="L32" i="1"/>
  <c r="K35" i="10"/>
  <c r="M35" i="12"/>
  <c r="P35" i="6"/>
  <c r="L34" i="1"/>
  <c r="K35" i="13"/>
  <c r="M35" i="4"/>
  <c r="N35" i="13"/>
  <c r="N35" i="8"/>
  <c r="O35" i="8"/>
  <c r="P35" i="11"/>
  <c r="K31" i="1"/>
  <c r="K34" i="1"/>
  <c r="P34" i="1"/>
  <c r="K35" i="6"/>
  <c r="L35" i="4"/>
  <c r="O35" i="13"/>
  <c r="K29" i="15"/>
  <c r="L35" i="10"/>
  <c r="L35" i="7"/>
  <c r="M35" i="9"/>
  <c r="N35" i="10"/>
  <c r="N35" i="5"/>
  <c r="O35" i="5"/>
  <c r="L31" i="1"/>
  <c r="K32" i="1"/>
  <c r="L35" i="13"/>
  <c r="O35" i="10"/>
  <c r="P35" i="3"/>
  <c r="K35" i="9"/>
  <c r="M35" i="6"/>
  <c r="N35" i="15"/>
  <c r="P35" i="13"/>
  <c r="P33" i="1"/>
  <c r="K35" i="12"/>
  <c r="P29" i="1"/>
  <c r="O35" i="15"/>
  <c r="P35" i="5"/>
  <c r="N35" i="12"/>
  <c r="O35" i="7"/>
  <c r="P35" i="10"/>
  <c r="P30" i="1"/>
  <c r="L35" i="3"/>
  <c r="L35" i="6"/>
  <c r="K35" i="3"/>
  <c r="O35" i="12"/>
  <c r="K33" i="1"/>
  <c r="L35" i="12"/>
  <c r="L35" i="9"/>
  <c r="M35" i="8"/>
  <c r="P32" i="1"/>
  <c r="N35" i="4"/>
  <c r="O35" i="4"/>
  <c r="P35" i="15"/>
  <c r="N35" i="3"/>
  <c r="P31" i="1"/>
  <c r="K35" i="8"/>
  <c r="K35" i="4"/>
  <c r="L35" i="15"/>
  <c r="M35" i="13"/>
  <c r="P35" i="7"/>
  <c r="K35" i="11"/>
  <c r="M35" i="5"/>
  <c r="N35" i="14"/>
  <c r="N35" i="9"/>
  <c r="O35" i="9"/>
  <c r="P35" i="12"/>
  <c r="M35" i="3"/>
  <c r="M35" i="10"/>
  <c r="O35" i="14"/>
  <c r="L33" i="1"/>
  <c r="P35" i="4"/>
  <c r="L35" i="5"/>
  <c r="N35" i="11"/>
  <c r="N35" i="6"/>
  <c r="O35" i="6"/>
  <c r="O29" i="1" l="1"/>
  <c r="K33" i="16"/>
  <c r="M32" i="1"/>
  <c r="N35" i="1"/>
  <c r="P35" i="1"/>
  <c r="M32" i="16"/>
  <c r="L31" i="16"/>
  <c r="P31" i="16"/>
  <c r="L32" i="16"/>
  <c r="O30" i="1"/>
  <c r="L34" i="16"/>
  <c r="M34" i="16"/>
  <c r="K30" i="16"/>
  <c r="L35" i="1"/>
  <c r="P33" i="16"/>
  <c r="P32" i="16"/>
  <c r="N33" i="1"/>
  <c r="L30" i="1"/>
  <c r="M34" i="1"/>
  <c r="K31" i="16"/>
  <c r="M33" i="1"/>
  <c r="L33" i="16"/>
  <c r="O32" i="1"/>
  <c r="M31" i="1"/>
  <c r="O34" i="1"/>
  <c r="N31" i="1"/>
  <c r="N32" i="1"/>
  <c r="N34" i="1"/>
  <c r="O33" i="1"/>
  <c r="M33" i="16"/>
  <c r="M29" i="1"/>
  <c r="L29" i="1"/>
  <c r="K34" i="16"/>
  <c r="P30" i="16"/>
  <c r="K32" i="16"/>
  <c r="O31" i="1"/>
  <c r="P29" i="16"/>
  <c r="K35" i="16"/>
  <c r="K35" i="1"/>
  <c r="K29" i="16"/>
  <c r="P34" i="16"/>
  <c r="N29" i="16" l="1"/>
  <c r="N29" i="1"/>
  <c r="O33" i="16"/>
  <c r="P35" i="16"/>
  <c r="N31" i="16"/>
  <c r="N30" i="1"/>
  <c r="O29" i="16"/>
  <c r="M35" i="1"/>
  <c r="L35" i="16"/>
  <c r="N34" i="16"/>
  <c r="O31" i="16"/>
  <c r="N32" i="16"/>
  <c r="O35" i="1"/>
  <c r="N30" i="16"/>
  <c r="L29" i="16"/>
  <c r="L30" i="16"/>
  <c r="O34" i="16"/>
  <c r="M30" i="1"/>
  <c r="M31" i="16"/>
  <c r="O30" i="16"/>
  <c r="N33" i="16"/>
  <c r="O32" i="16"/>
  <c r="M30" i="16" l="1"/>
  <c r="M35" i="16"/>
  <c r="N35" i="16"/>
  <c r="O35" i="16"/>
  <c r="M29" i="16"/>
  <c r="C24" i="10" l="1"/>
  <c r="C26" i="8" l="1"/>
  <c r="C25" i="11"/>
  <c r="C26" i="15"/>
  <c r="C25" i="4"/>
  <c r="C26" i="5"/>
  <c r="C25" i="15"/>
  <c r="C25" i="13"/>
  <c r="C24" i="3"/>
  <c r="C24" i="6"/>
  <c r="C26" i="10"/>
  <c r="C24" i="11"/>
  <c r="C24" i="12"/>
  <c r="C26" i="13"/>
  <c r="C25" i="8"/>
  <c r="C24" i="7"/>
  <c r="C5" i="1"/>
  <c r="C5" i="16" s="1"/>
  <c r="C25" i="3"/>
  <c r="C24" i="15"/>
  <c r="D26" i="12"/>
  <c r="E8" i="12"/>
  <c r="D27" i="10"/>
  <c r="D26" i="14"/>
  <c r="E8" i="14"/>
  <c r="E5" i="6"/>
  <c r="D27" i="14"/>
  <c r="D29" i="8"/>
  <c r="S29" i="8" s="1"/>
  <c r="E5" i="15"/>
  <c r="E5" i="5"/>
  <c r="C26" i="3"/>
  <c r="C25" i="14"/>
  <c r="E10" i="12"/>
  <c r="D28" i="12"/>
  <c r="E7" i="15"/>
  <c r="D25" i="15"/>
  <c r="D25" i="14"/>
  <c r="E7" i="14"/>
  <c r="C26" i="7"/>
  <c r="D29" i="14"/>
  <c r="S29" i="14" s="1"/>
  <c r="E8" i="15"/>
  <c r="D26" i="15"/>
  <c r="D29" i="6"/>
  <c r="S29" i="6" s="1"/>
  <c r="D28" i="15"/>
  <c r="E10" i="15"/>
  <c r="D27" i="5"/>
  <c r="E10" i="11"/>
  <c r="D28" i="11"/>
  <c r="D28" i="10"/>
  <c r="E10" i="10"/>
  <c r="C25" i="12"/>
  <c r="C26" i="14"/>
  <c r="D24" i="11"/>
  <c r="E6" i="11"/>
  <c r="E6" i="5"/>
  <c r="D24" i="5"/>
  <c r="E5" i="4"/>
  <c r="E5" i="8"/>
  <c r="E5" i="12"/>
  <c r="C26" i="9"/>
  <c r="C8" i="1"/>
  <c r="C8" i="16" s="1"/>
  <c r="C24" i="14"/>
  <c r="D27" i="8"/>
  <c r="E7" i="8"/>
  <c r="D25" i="8"/>
  <c r="E6" i="6"/>
  <c r="D24" i="6"/>
  <c r="D29" i="10"/>
  <c r="S29" i="10" s="1"/>
  <c r="E6" i="3"/>
  <c r="D24" i="3"/>
  <c r="C25" i="6"/>
  <c r="C25" i="10"/>
  <c r="C10" i="1"/>
  <c r="C10" i="16" s="1"/>
  <c r="E6" i="14"/>
  <c r="D24" i="14"/>
  <c r="D29" i="5"/>
  <c r="S29" i="5" s="1"/>
  <c r="D28" i="13"/>
  <c r="E10" i="13"/>
  <c r="D29" i="11"/>
  <c r="S29" i="11" s="1"/>
  <c r="D25" i="3"/>
  <c r="E7" i="3"/>
  <c r="E6" i="4"/>
  <c r="D24" i="4"/>
  <c r="D5" i="1"/>
  <c r="E5" i="9"/>
  <c r="C24" i="9"/>
  <c r="C6" i="1"/>
  <c r="C6" i="16" s="1"/>
  <c r="D27" i="4"/>
  <c r="E10" i="5"/>
  <c r="D28" i="5"/>
  <c r="E6" i="10"/>
  <c r="D24" i="10"/>
  <c r="E7" i="12"/>
  <c r="D25" i="12"/>
  <c r="E5" i="10"/>
  <c r="C7" i="1"/>
  <c r="C7" i="16" s="1"/>
  <c r="C25" i="9"/>
  <c r="E10" i="14"/>
  <c r="D28" i="14"/>
  <c r="C25" i="7"/>
  <c r="D24" i="15"/>
  <c r="E6" i="15"/>
  <c r="D27" i="6"/>
  <c r="D26" i="3"/>
  <c r="E8" i="3"/>
  <c r="E5" i="13"/>
  <c r="E7" i="6"/>
  <c r="D25" i="6"/>
  <c r="D28" i="7"/>
  <c r="E10" i="7"/>
  <c r="E10" i="3"/>
  <c r="D28" i="3"/>
  <c r="D24" i="13"/>
  <c r="E6" i="13"/>
  <c r="D27" i="11"/>
  <c r="D27" i="13"/>
  <c r="E6" i="8"/>
  <c r="D24" i="8"/>
  <c r="D26" i="7"/>
  <c r="E8" i="7"/>
  <c r="D28" i="9"/>
  <c r="E10" i="9"/>
  <c r="D10" i="1"/>
  <c r="D10" i="16" s="1"/>
  <c r="D27" i="15"/>
  <c r="E5" i="7"/>
  <c r="D24" i="7"/>
  <c r="E6" i="7"/>
  <c r="D25" i="9"/>
  <c r="E7" i="9"/>
  <c r="D7" i="1"/>
  <c r="D26" i="13"/>
  <c r="E8" i="13"/>
  <c r="E10" i="6"/>
  <c r="D28" i="6"/>
  <c r="E8" i="4"/>
  <c r="D26" i="4"/>
  <c r="E7" i="10"/>
  <c r="D25" i="10"/>
  <c r="D27" i="12"/>
  <c r="C26" i="4"/>
  <c r="C25" i="5"/>
  <c r="E6" i="9"/>
  <c r="D24" i="9"/>
  <c r="D6" i="1"/>
  <c r="D29" i="15"/>
  <c r="S29" i="15" s="1"/>
  <c r="E5" i="3"/>
  <c r="D25" i="11"/>
  <c r="E7" i="11"/>
  <c r="E7" i="4"/>
  <c r="D25" i="4"/>
  <c r="D29" i="12"/>
  <c r="S29" i="12" s="1"/>
  <c r="E8" i="8"/>
  <c r="D26" i="8"/>
  <c r="E7" i="13"/>
  <c r="D25" i="13"/>
  <c r="D26" i="11"/>
  <c r="E8" i="11"/>
  <c r="C26" i="11"/>
  <c r="C24" i="8"/>
  <c r="D27" i="3"/>
  <c r="D29" i="13"/>
  <c r="S29" i="13" s="1"/>
  <c r="D29" i="7"/>
  <c r="S29" i="7" s="1"/>
  <c r="E8" i="10"/>
  <c r="D26" i="10"/>
  <c r="D25" i="5"/>
  <c r="E7" i="5"/>
  <c r="D27" i="9"/>
  <c r="D9" i="1"/>
  <c r="D24" i="12"/>
  <c r="E6" i="12"/>
  <c r="D28" i="8"/>
  <c r="E10" i="8"/>
  <c r="D27" i="7"/>
  <c r="C24" i="13"/>
  <c r="C24" i="5"/>
  <c r="E8" i="6"/>
  <c r="D26" i="6"/>
  <c r="E5" i="11"/>
  <c r="E7" i="7"/>
  <c r="D25" i="7"/>
  <c r="D8" i="1"/>
  <c r="D26" i="9"/>
  <c r="E8" i="9"/>
  <c r="E8" i="5"/>
  <c r="D26" i="5"/>
  <c r="E5" i="14"/>
  <c r="D29" i="9"/>
  <c r="S29" i="9" s="1"/>
  <c r="D11" i="1"/>
  <c r="C26" i="12"/>
  <c r="C26" i="6"/>
  <c r="C24" i="4"/>
  <c r="C27" i="5"/>
  <c r="C27" i="11"/>
  <c r="C27" i="13"/>
  <c r="C27" i="14"/>
  <c r="C27" i="7"/>
  <c r="C27" i="10"/>
  <c r="E9" i="9"/>
  <c r="C27" i="4"/>
  <c r="C27" i="3"/>
  <c r="C27" i="12"/>
  <c r="C27" i="15"/>
  <c r="C27" i="6"/>
  <c r="C27" i="8"/>
  <c r="E5" i="1" l="1"/>
  <c r="E27" i="9"/>
  <c r="E25" i="4"/>
  <c r="C24" i="16"/>
  <c r="E25" i="5"/>
  <c r="E26" i="6"/>
  <c r="E24" i="7"/>
  <c r="E24" i="12"/>
  <c r="E6" i="1"/>
  <c r="E24" i="8"/>
  <c r="E26" i="3"/>
  <c r="E25" i="12"/>
  <c r="E26" i="8"/>
  <c r="E8" i="1"/>
  <c r="E7" i="1"/>
  <c r="E24" i="9"/>
  <c r="E26" i="15"/>
  <c r="E26" i="11"/>
  <c r="E24" i="5"/>
  <c r="E24" i="11"/>
  <c r="E25" i="9"/>
  <c r="E25" i="8"/>
  <c r="E24" i="15"/>
  <c r="E24" i="13"/>
  <c r="E25" i="14"/>
  <c r="E26" i="14"/>
  <c r="E25" i="10"/>
  <c r="E9" i="3"/>
  <c r="E27" i="3" s="1"/>
  <c r="E26" i="4"/>
  <c r="E25" i="15"/>
  <c r="E26" i="5"/>
  <c r="E26" i="7"/>
  <c r="C25" i="16"/>
  <c r="E24" i="4"/>
  <c r="E24" i="3"/>
  <c r="E26" i="9"/>
  <c r="E25" i="6"/>
  <c r="E28" i="9"/>
  <c r="C28" i="9"/>
  <c r="E9" i="5"/>
  <c r="E27" i="5" s="1"/>
  <c r="E9" i="14"/>
  <c r="E27" i="14" s="1"/>
  <c r="D9" i="16"/>
  <c r="D28" i="16" s="1"/>
  <c r="E10" i="4"/>
  <c r="D28" i="4"/>
  <c r="E9" i="4"/>
  <c r="E27" i="4" s="1"/>
  <c r="E9" i="8"/>
  <c r="E27" i="8" s="1"/>
  <c r="C28" i="15"/>
  <c r="C28" i="10"/>
  <c r="E9" i="6"/>
  <c r="E27" i="6" s="1"/>
  <c r="E10" i="16"/>
  <c r="E9" i="7"/>
  <c r="E27" i="7" s="1"/>
  <c r="C26" i="16"/>
  <c r="D33" i="11"/>
  <c r="S33" i="11" s="1"/>
  <c r="C28" i="8"/>
  <c r="D29" i="3"/>
  <c r="S29" i="3" s="1"/>
  <c r="C28" i="14"/>
  <c r="C28" i="3"/>
  <c r="C28" i="5"/>
  <c r="C28" i="11"/>
  <c r="E9" i="15"/>
  <c r="E27" i="15" s="1"/>
  <c r="D6" i="16"/>
  <c r="C28" i="6"/>
  <c r="E26" i="10"/>
  <c r="E25" i="11"/>
  <c r="E9" i="13"/>
  <c r="E27" i="13" s="1"/>
  <c r="D5" i="16"/>
  <c r="E5" i="16" s="1"/>
  <c r="E9" i="10"/>
  <c r="E27" i="10" s="1"/>
  <c r="E25" i="7"/>
  <c r="E9" i="12"/>
  <c r="E27" i="12" s="1"/>
  <c r="C32" i="11"/>
  <c r="R32" i="11" s="1"/>
  <c r="C28" i="7"/>
  <c r="E24" i="10"/>
  <c r="E14" i="11"/>
  <c r="D11" i="16"/>
  <c r="D29" i="1"/>
  <c r="S29" i="1" s="1"/>
  <c r="E26" i="13"/>
  <c r="C28" i="12"/>
  <c r="C28" i="4"/>
  <c r="E24" i="6"/>
  <c r="C28" i="13"/>
  <c r="E25" i="13"/>
  <c r="E9" i="11"/>
  <c r="E27" i="11" s="1"/>
  <c r="E25" i="3"/>
  <c r="D29" i="4"/>
  <c r="S29" i="4" s="1"/>
  <c r="D7" i="16"/>
  <c r="E26" i="12"/>
  <c r="C9" i="1"/>
  <c r="C9" i="16" s="1"/>
  <c r="C27" i="16" s="1"/>
  <c r="C27" i="9"/>
  <c r="E10" i="1"/>
  <c r="E24" i="14"/>
  <c r="D8" i="16"/>
  <c r="E28" i="14" l="1"/>
  <c r="E28" i="6"/>
  <c r="E28" i="3"/>
  <c r="E28" i="7"/>
  <c r="D24" i="16"/>
  <c r="E6" i="16"/>
  <c r="E24" i="16" s="1"/>
  <c r="D27" i="16"/>
  <c r="E8" i="16"/>
  <c r="D26" i="16"/>
  <c r="E28" i="4"/>
  <c r="E28" i="15"/>
  <c r="E9" i="1"/>
  <c r="E7" i="16"/>
  <c r="D25" i="16"/>
  <c r="E9" i="16"/>
  <c r="E28" i="11"/>
  <c r="D29" i="16"/>
  <c r="S29" i="16" s="1"/>
  <c r="E28" i="13"/>
  <c r="C28" i="16"/>
  <c r="E28" i="8"/>
  <c r="E28" i="12"/>
  <c r="E28" i="5"/>
  <c r="E28" i="10"/>
  <c r="E27" i="16" l="1"/>
  <c r="E25" i="16"/>
  <c r="D30" i="11"/>
  <c r="S30" i="11" s="1"/>
  <c r="E28" i="16"/>
  <c r="E26" i="16"/>
  <c r="E13" i="11" l="1"/>
  <c r="D31" i="11"/>
  <c r="S31" i="11" s="1"/>
  <c r="D32" i="11"/>
  <c r="S32" i="11" s="1"/>
  <c r="E32" i="11" l="1"/>
  <c r="T32" i="11" s="1"/>
  <c r="C29" i="12" l="1"/>
  <c r="R29" i="12" s="1"/>
  <c r="E11" i="12"/>
  <c r="C32" i="9"/>
  <c r="R32" i="9" s="1"/>
  <c r="C29" i="13"/>
  <c r="R29" i="13" s="1"/>
  <c r="E11" i="13"/>
  <c r="C29" i="14"/>
  <c r="R29" i="14" s="1"/>
  <c r="E11" i="14"/>
  <c r="C29" i="15"/>
  <c r="R29" i="15" s="1"/>
  <c r="C29" i="5"/>
  <c r="R29" i="5" s="1"/>
  <c r="E11" i="5"/>
  <c r="C29" i="6"/>
  <c r="R29" i="6" s="1"/>
  <c r="E11" i="6"/>
  <c r="C29" i="8"/>
  <c r="R29" i="8" s="1"/>
  <c r="E11" i="8"/>
  <c r="C31" i="11"/>
  <c r="R31" i="11" s="1"/>
  <c r="E12" i="11"/>
  <c r="D30" i="14"/>
  <c r="S30" i="14" s="1"/>
  <c r="C29" i="7"/>
  <c r="R29" i="7" s="1"/>
  <c r="E11" i="7"/>
  <c r="C31" i="9"/>
  <c r="R31" i="9" s="1"/>
  <c r="C29" i="10"/>
  <c r="R29" i="10" s="1"/>
  <c r="E11" i="10"/>
  <c r="C12" i="1" l="1"/>
  <c r="C30" i="9"/>
  <c r="R30" i="9" s="1"/>
  <c r="C29" i="3"/>
  <c r="R29" i="3" s="1"/>
  <c r="E11" i="3"/>
  <c r="E29" i="7"/>
  <c r="T29" i="7" s="1"/>
  <c r="E29" i="6"/>
  <c r="T29" i="6" s="1"/>
  <c r="E29" i="14"/>
  <c r="T29" i="14" s="1"/>
  <c r="H7" i="14"/>
  <c r="E29" i="5"/>
  <c r="T29" i="5" s="1"/>
  <c r="C29" i="4"/>
  <c r="R29" i="4" s="1"/>
  <c r="E11" i="4"/>
  <c r="H7" i="4"/>
  <c r="C30" i="14"/>
  <c r="R30" i="14" s="1"/>
  <c r="E12" i="14"/>
  <c r="E29" i="13"/>
  <c r="T29" i="13" s="1"/>
  <c r="H7" i="9"/>
  <c r="H7" i="10"/>
  <c r="G7" i="10" s="1"/>
  <c r="E12" i="13"/>
  <c r="D30" i="13"/>
  <c r="S30" i="13" s="1"/>
  <c r="C29" i="11"/>
  <c r="R29" i="11" s="1"/>
  <c r="E11" i="11"/>
  <c r="H7" i="12"/>
  <c r="H7" i="13"/>
  <c r="E31" i="11"/>
  <c r="T31" i="11" s="1"/>
  <c r="E29" i="10"/>
  <c r="T29" i="10" s="1"/>
  <c r="H7" i="7"/>
  <c r="D31" i="14"/>
  <c r="S31" i="14" s="1"/>
  <c r="E29" i="15"/>
  <c r="T29" i="15" s="1"/>
  <c r="E12" i="9"/>
  <c r="D30" i="9"/>
  <c r="S30" i="9" s="1"/>
  <c r="D12" i="1"/>
  <c r="C30" i="11"/>
  <c r="R30" i="11" s="1"/>
  <c r="C30" i="13"/>
  <c r="R30" i="13" s="1"/>
  <c r="E29" i="12"/>
  <c r="T29" i="12" s="1"/>
  <c r="H7" i="6"/>
  <c r="H7" i="15"/>
  <c r="H7" i="3"/>
  <c r="G7" i="3" s="1"/>
  <c r="H7" i="8"/>
  <c r="C11" i="1"/>
  <c r="C29" i="9"/>
  <c r="R29" i="9" s="1"/>
  <c r="E11" i="9"/>
  <c r="E29" i="8"/>
  <c r="T29" i="8" s="1"/>
  <c r="H7" i="5"/>
  <c r="G7" i="5" s="1"/>
  <c r="H7" i="11"/>
  <c r="G7" i="11" s="1"/>
  <c r="E13" i="14"/>
  <c r="F25" i="11"/>
  <c r="H5" i="9"/>
  <c r="F25" i="9"/>
  <c r="H5" i="8"/>
  <c r="G5" i="8" s="1"/>
  <c r="F25" i="10"/>
  <c r="H5" i="15"/>
  <c r="G5" i="15" s="1"/>
  <c r="H5" i="7"/>
  <c r="G5" i="7" s="1"/>
  <c r="F25" i="14"/>
  <c r="H5" i="14"/>
  <c r="G5" i="14" s="1"/>
  <c r="H5" i="6"/>
  <c r="G5" i="6" s="1"/>
  <c r="F25" i="13"/>
  <c r="F25" i="8"/>
  <c r="H5" i="13"/>
  <c r="G5" i="13" s="1"/>
  <c r="H5" i="5"/>
  <c r="G5" i="5" s="1"/>
  <c r="F25" i="12"/>
  <c r="H5" i="12"/>
  <c r="G5" i="12" s="1"/>
  <c r="H5" i="4"/>
  <c r="G5" i="4" s="1"/>
  <c r="F25" i="6"/>
  <c r="H5" i="11"/>
  <c r="G5" i="11" s="1"/>
  <c r="H5" i="3"/>
  <c r="G5" i="3" s="1"/>
  <c r="F25" i="5"/>
  <c r="H5" i="10"/>
  <c r="G5" i="10" s="1"/>
  <c r="E30" i="11" l="1"/>
  <c r="T30" i="11" s="1"/>
  <c r="E31" i="14"/>
  <c r="T31" i="14" s="1"/>
  <c r="G7" i="6"/>
  <c r="E30" i="13"/>
  <c r="T30" i="13" s="1"/>
  <c r="F24" i="7"/>
  <c r="H6" i="7"/>
  <c r="H25" i="7" s="1"/>
  <c r="F24" i="6"/>
  <c r="H6" i="6"/>
  <c r="F26" i="3"/>
  <c r="H8" i="3"/>
  <c r="F26" i="7"/>
  <c r="H8" i="7"/>
  <c r="D31" i="13"/>
  <c r="S31" i="13" s="1"/>
  <c r="E13" i="13"/>
  <c r="G7" i="13"/>
  <c r="G7" i="14"/>
  <c r="D13" i="1"/>
  <c r="E13" i="9"/>
  <c r="D31" i="9"/>
  <c r="S31" i="9" s="1"/>
  <c r="F30" i="14"/>
  <c r="U30" i="14" s="1"/>
  <c r="H12" i="14"/>
  <c r="D30" i="5"/>
  <c r="S30" i="5" s="1"/>
  <c r="G7" i="9"/>
  <c r="H7" i="1"/>
  <c r="F29" i="9"/>
  <c r="U29" i="9" s="1"/>
  <c r="H11" i="9"/>
  <c r="F24" i="10"/>
  <c r="H6" i="10"/>
  <c r="G7" i="12"/>
  <c r="F29" i="8"/>
  <c r="U29" i="8" s="1"/>
  <c r="H11" i="8"/>
  <c r="F26" i="11"/>
  <c r="H8" i="11"/>
  <c r="F24" i="9"/>
  <c r="H6" i="9"/>
  <c r="F27" i="6"/>
  <c r="H9" i="6"/>
  <c r="F27" i="12"/>
  <c r="H9" i="12"/>
  <c r="F28" i="8"/>
  <c r="H10" i="8"/>
  <c r="D30" i="12"/>
  <c r="S30" i="12" s="1"/>
  <c r="E29" i="9"/>
  <c r="T29" i="9" s="1"/>
  <c r="F26" i="12"/>
  <c r="H8" i="12"/>
  <c r="F28" i="5"/>
  <c r="H10" i="5"/>
  <c r="F26" i="15"/>
  <c r="H8" i="15"/>
  <c r="F28" i="12"/>
  <c r="H10" i="12"/>
  <c r="D30" i="7"/>
  <c r="S30" i="7" s="1"/>
  <c r="C30" i="10"/>
  <c r="R30" i="10" s="1"/>
  <c r="E30" i="14"/>
  <c r="T30" i="14" s="1"/>
  <c r="F28" i="7"/>
  <c r="H10" i="7"/>
  <c r="F26" i="13"/>
  <c r="H8" i="13"/>
  <c r="F28" i="11"/>
  <c r="H10" i="11"/>
  <c r="F28" i="14"/>
  <c r="H10" i="14"/>
  <c r="F28" i="15"/>
  <c r="H10" i="15"/>
  <c r="F26" i="5"/>
  <c r="H8" i="5"/>
  <c r="D30" i="10"/>
  <c r="S30" i="10" s="1"/>
  <c r="E12" i="10"/>
  <c r="F24" i="3"/>
  <c r="H6" i="3"/>
  <c r="F24" i="14"/>
  <c r="H6" i="14"/>
  <c r="H25" i="14" s="1"/>
  <c r="F28" i="3"/>
  <c r="H10" i="3"/>
  <c r="F27" i="10"/>
  <c r="H9" i="10"/>
  <c r="F29" i="7"/>
  <c r="U29" i="7" s="1"/>
  <c r="H11" i="7"/>
  <c r="F26" i="4"/>
  <c r="H8" i="4"/>
  <c r="C29" i="1"/>
  <c r="R29" i="1" s="1"/>
  <c r="E11" i="1"/>
  <c r="C11" i="16"/>
  <c r="E29" i="11"/>
  <c r="T29" i="11" s="1"/>
  <c r="F27" i="7"/>
  <c r="H9" i="7"/>
  <c r="F26" i="14"/>
  <c r="H8" i="14"/>
  <c r="F29" i="12"/>
  <c r="U29" i="12" s="1"/>
  <c r="H11" i="12"/>
  <c r="F29" i="11"/>
  <c r="U29" i="11" s="1"/>
  <c r="H11" i="11"/>
  <c r="F28" i="6"/>
  <c r="H10" i="6"/>
  <c r="F26" i="6"/>
  <c r="H8" i="6"/>
  <c r="G7" i="8"/>
  <c r="E29" i="3"/>
  <c r="T29" i="3" s="1"/>
  <c r="F24" i="4"/>
  <c r="H6" i="4"/>
  <c r="F26" i="8"/>
  <c r="H8" i="8"/>
  <c r="F27" i="15"/>
  <c r="H9" i="15"/>
  <c r="F24" i="15"/>
  <c r="H6" i="15"/>
  <c r="H25" i="15" s="1"/>
  <c r="D30" i="8"/>
  <c r="S30" i="8" s="1"/>
  <c r="C31" i="14"/>
  <c r="R31" i="14" s="1"/>
  <c r="D30" i="1"/>
  <c r="S30" i="1" s="1"/>
  <c r="E12" i="1"/>
  <c r="G7" i="7"/>
  <c r="G7" i="4"/>
  <c r="F26" i="10"/>
  <c r="H8" i="10"/>
  <c r="F24" i="5"/>
  <c r="H6" i="5"/>
  <c r="C31" i="13"/>
  <c r="R31" i="13" s="1"/>
  <c r="C13" i="1"/>
  <c r="C31" i="10"/>
  <c r="R31" i="10" s="1"/>
  <c r="F25" i="7"/>
  <c r="F25" i="4"/>
  <c r="H5" i="1"/>
  <c r="G5" i="9"/>
  <c r="F24" i="12"/>
  <c r="H6" i="12"/>
  <c r="F29" i="10"/>
  <c r="U29" i="10" s="1"/>
  <c r="H11" i="10"/>
  <c r="F28" i="9"/>
  <c r="H10" i="9"/>
  <c r="F24" i="11"/>
  <c r="H6" i="11"/>
  <c r="F27" i="5"/>
  <c r="H9" i="5"/>
  <c r="F29" i="5"/>
  <c r="U29" i="5" s="1"/>
  <c r="H11" i="5"/>
  <c r="D30" i="6"/>
  <c r="S30" i="6" s="1"/>
  <c r="F25" i="3"/>
  <c r="E29" i="4"/>
  <c r="T29" i="4" s="1"/>
  <c r="C30" i="1"/>
  <c r="R30" i="1" s="1"/>
  <c r="F29" i="14"/>
  <c r="U29" i="14" s="1"/>
  <c r="H11" i="14"/>
  <c r="F28" i="10"/>
  <c r="H10" i="10"/>
  <c r="F27" i="11"/>
  <c r="H9" i="11"/>
  <c r="F26" i="9"/>
  <c r="H8" i="9"/>
  <c r="F27" i="8"/>
  <c r="H9" i="8"/>
  <c r="F27" i="9"/>
  <c r="H9" i="9"/>
  <c r="F24" i="8"/>
  <c r="H6" i="8"/>
  <c r="F27" i="4"/>
  <c r="H9" i="4"/>
  <c r="F27" i="13"/>
  <c r="H9" i="13"/>
  <c r="G7" i="15"/>
  <c r="E30" i="9"/>
  <c r="T30" i="9" s="1"/>
  <c r="F27" i="14"/>
  <c r="H9" i="14"/>
  <c r="F27" i="3"/>
  <c r="H9" i="3"/>
  <c r="F29" i="15"/>
  <c r="U29" i="15" s="1"/>
  <c r="F24" i="13"/>
  <c r="H6" i="13"/>
  <c r="H25" i="13" s="1"/>
  <c r="F29" i="13"/>
  <c r="U29" i="13" s="1"/>
  <c r="H11" i="13"/>
  <c r="F29" i="6"/>
  <c r="U29" i="6" s="1"/>
  <c r="H11" i="6"/>
  <c r="F28" i="13"/>
  <c r="H10" i="13"/>
  <c r="F25" i="15"/>
  <c r="H11" i="1" l="1"/>
  <c r="F30" i="13"/>
  <c r="U30" i="13" s="1"/>
  <c r="H12" i="13"/>
  <c r="H27" i="14"/>
  <c r="G9" i="14"/>
  <c r="G6" i="8"/>
  <c r="G24" i="8" s="1"/>
  <c r="H24" i="8"/>
  <c r="H29" i="14"/>
  <c r="W29" i="14" s="1"/>
  <c r="G11" i="14"/>
  <c r="G6" i="6"/>
  <c r="G24" i="6" s="1"/>
  <c r="H24" i="6"/>
  <c r="F29" i="3"/>
  <c r="U29" i="3" s="1"/>
  <c r="H11" i="3"/>
  <c r="F29" i="4"/>
  <c r="U29" i="4" s="1"/>
  <c r="H11" i="4"/>
  <c r="G10" i="15"/>
  <c r="H28" i="15"/>
  <c r="G9" i="6"/>
  <c r="H27" i="6"/>
  <c r="E31" i="9"/>
  <c r="T31" i="9" s="1"/>
  <c r="C32" i="14"/>
  <c r="R32" i="14" s="1"/>
  <c r="H29" i="6"/>
  <c r="W29" i="6" s="1"/>
  <c r="G11" i="6"/>
  <c r="H9" i="1"/>
  <c r="H27" i="9"/>
  <c r="G9" i="9"/>
  <c r="H25" i="11"/>
  <c r="G6" i="11"/>
  <c r="H24" i="11"/>
  <c r="E30" i="1"/>
  <c r="T30" i="1" s="1"/>
  <c r="G9" i="15"/>
  <c r="H27" i="15"/>
  <c r="G11" i="11"/>
  <c r="H29" i="11"/>
  <c r="W29" i="11" s="1"/>
  <c r="H26" i="12"/>
  <c r="G8" i="12"/>
  <c r="G26" i="12" s="1"/>
  <c r="G7" i="1"/>
  <c r="F7" i="1"/>
  <c r="D31" i="1"/>
  <c r="S31" i="1" s="1"/>
  <c r="E13" i="1"/>
  <c r="D32" i="14"/>
  <c r="S32" i="14" s="1"/>
  <c r="E14" i="14"/>
  <c r="C32" i="13"/>
  <c r="R32" i="13" s="1"/>
  <c r="C14" i="1"/>
  <c r="H28" i="3"/>
  <c r="G10" i="3"/>
  <c r="H10" i="1"/>
  <c r="G10" i="9"/>
  <c r="H28" i="9"/>
  <c r="G10" i="14"/>
  <c r="H28" i="14"/>
  <c r="H25" i="9"/>
  <c r="H6" i="1"/>
  <c r="H6" i="16" s="1"/>
  <c r="G6" i="9"/>
  <c r="G24" i="9" s="1"/>
  <c r="H24" i="9"/>
  <c r="G6" i="7"/>
  <c r="G24" i="7" s="1"/>
  <c r="H24" i="7"/>
  <c r="H29" i="13"/>
  <c r="W29" i="13" s="1"/>
  <c r="G11" i="13"/>
  <c r="H27" i="8"/>
  <c r="G9" i="8"/>
  <c r="G8" i="8"/>
  <c r="G26" i="8" s="1"/>
  <c r="H26" i="8"/>
  <c r="H29" i="12"/>
  <c r="W29" i="12" s="1"/>
  <c r="G11" i="12"/>
  <c r="C29" i="16"/>
  <c r="R29" i="16" s="1"/>
  <c r="E11" i="16"/>
  <c r="C31" i="1"/>
  <c r="R31" i="1" s="1"/>
  <c r="E29" i="1"/>
  <c r="T29" i="1" s="1"/>
  <c r="H24" i="14"/>
  <c r="G6" i="14"/>
  <c r="G24" i="14" s="1"/>
  <c r="G8" i="11"/>
  <c r="G26" i="11" s="1"/>
  <c r="H26" i="11"/>
  <c r="H7" i="16"/>
  <c r="G11" i="10"/>
  <c r="H29" i="10"/>
  <c r="W29" i="10" s="1"/>
  <c r="G6" i="4"/>
  <c r="G24" i="4" s="1"/>
  <c r="H24" i="4"/>
  <c r="H28" i="11"/>
  <c r="G10" i="11"/>
  <c r="G6" i="13"/>
  <c r="G24" i="13" s="1"/>
  <c r="H24" i="13"/>
  <c r="H8" i="1"/>
  <c r="H8" i="16" s="1"/>
  <c r="H26" i="9"/>
  <c r="G8" i="9"/>
  <c r="G26" i="9" s="1"/>
  <c r="G8" i="14"/>
  <c r="G26" i="14" s="1"/>
  <c r="H26" i="14"/>
  <c r="H25" i="3"/>
  <c r="H24" i="3"/>
  <c r="G6" i="3"/>
  <c r="H29" i="8"/>
  <c r="W29" i="8" s="1"/>
  <c r="G11" i="8"/>
  <c r="E31" i="13"/>
  <c r="T31" i="13" s="1"/>
  <c r="F30" i="9"/>
  <c r="U30" i="9" s="1"/>
  <c r="H12" i="9"/>
  <c r="H26" i="4"/>
  <c r="G8" i="4"/>
  <c r="G26" i="4" s="1"/>
  <c r="H30" i="14"/>
  <c r="W30" i="14" s="1"/>
  <c r="G12" i="14"/>
  <c r="H25" i="6"/>
  <c r="H29" i="15"/>
  <c r="W29" i="15" s="1"/>
  <c r="G9" i="13"/>
  <c r="H27" i="13"/>
  <c r="G9" i="11"/>
  <c r="H27" i="11"/>
  <c r="G6" i="12"/>
  <c r="G24" i="12" s="1"/>
  <c r="H24" i="12"/>
  <c r="H25" i="5"/>
  <c r="H24" i="5"/>
  <c r="G6" i="5"/>
  <c r="G9" i="7"/>
  <c r="H27" i="7"/>
  <c r="H26" i="13"/>
  <c r="G8" i="13"/>
  <c r="G26" i="13" s="1"/>
  <c r="H28" i="12"/>
  <c r="G10" i="12"/>
  <c r="H25" i="8"/>
  <c r="G11" i="7"/>
  <c r="H29" i="7"/>
  <c r="W29" i="7" s="1"/>
  <c r="G10" i="8"/>
  <c r="H28" i="8"/>
  <c r="H25" i="12"/>
  <c r="D30" i="4"/>
  <c r="S30" i="4" s="1"/>
  <c r="G11" i="5"/>
  <c r="H29" i="5"/>
  <c r="W29" i="5" s="1"/>
  <c r="H26" i="10"/>
  <c r="G8" i="10"/>
  <c r="G26" i="10" s="1"/>
  <c r="E30" i="10"/>
  <c r="T30" i="10" s="1"/>
  <c r="G10" i="7"/>
  <c r="H28" i="7"/>
  <c r="H26" i="7"/>
  <c r="G8" i="7"/>
  <c r="G26" i="7" s="1"/>
  <c r="H27" i="3"/>
  <c r="G9" i="3"/>
  <c r="H27" i="4"/>
  <c r="G9" i="4"/>
  <c r="H28" i="10"/>
  <c r="G10" i="10"/>
  <c r="H5" i="16"/>
  <c r="F5" i="1"/>
  <c r="G5" i="1"/>
  <c r="H26" i="6"/>
  <c r="G8" i="6"/>
  <c r="G26" i="6" s="1"/>
  <c r="F28" i="4"/>
  <c r="H10" i="4"/>
  <c r="G8" i="15"/>
  <c r="G26" i="15" s="1"/>
  <c r="H26" i="15"/>
  <c r="H25" i="10"/>
  <c r="G6" i="10"/>
  <c r="H24" i="10"/>
  <c r="H25" i="4"/>
  <c r="G6" i="15"/>
  <c r="G24" i="15" s="1"/>
  <c r="H24" i="15"/>
  <c r="H27" i="10"/>
  <c r="G9" i="10"/>
  <c r="H27" i="12"/>
  <c r="G9" i="12"/>
  <c r="G8" i="3"/>
  <c r="G26" i="3" s="1"/>
  <c r="H26" i="3"/>
  <c r="G10" i="13"/>
  <c r="H28" i="13"/>
  <c r="H27" i="5"/>
  <c r="G9" i="5"/>
  <c r="H28" i="6"/>
  <c r="G10" i="6"/>
  <c r="H26" i="5"/>
  <c r="G8" i="5"/>
  <c r="G26" i="5" s="1"/>
  <c r="G10" i="5"/>
  <c r="H28" i="5"/>
  <c r="G11" i="9"/>
  <c r="H29" i="9"/>
  <c r="W29" i="9" s="1"/>
  <c r="F11" i="1" l="1"/>
  <c r="G25" i="9"/>
  <c r="G25" i="8"/>
  <c r="G28" i="9"/>
  <c r="G25" i="7"/>
  <c r="G27" i="15"/>
  <c r="G25" i="13"/>
  <c r="G28" i="14"/>
  <c r="G27" i="13"/>
  <c r="G28" i="13"/>
  <c r="G28" i="12"/>
  <c r="G25" i="15"/>
  <c r="G27" i="6"/>
  <c r="G25" i="6"/>
  <c r="G27" i="4"/>
  <c r="G27" i="12"/>
  <c r="G28" i="5"/>
  <c r="E32" i="14"/>
  <c r="T32" i="14" s="1"/>
  <c r="C32" i="10"/>
  <c r="R32" i="10" s="1"/>
  <c r="G24" i="10"/>
  <c r="G25" i="10"/>
  <c r="G29" i="7"/>
  <c r="V29" i="7" s="1"/>
  <c r="F31" i="9"/>
  <c r="U31" i="9" s="1"/>
  <c r="H13" i="9"/>
  <c r="G12" i="9"/>
  <c r="H30" i="9"/>
  <c r="W30" i="9" s="1"/>
  <c r="G27" i="8"/>
  <c r="H11" i="16"/>
  <c r="H29" i="1"/>
  <c r="W29" i="1" s="1"/>
  <c r="G11" i="1"/>
  <c r="G8" i="16"/>
  <c r="F8" i="16"/>
  <c r="H26" i="16"/>
  <c r="G27" i="11"/>
  <c r="F8" i="1"/>
  <c r="G8" i="1"/>
  <c r="F31" i="14"/>
  <c r="U31" i="14" s="1"/>
  <c r="H13" i="14"/>
  <c r="G29" i="9"/>
  <c r="V29" i="9" s="1"/>
  <c r="G29" i="13"/>
  <c r="V29" i="13" s="1"/>
  <c r="H10" i="16"/>
  <c r="G10" i="1"/>
  <c r="F10" i="1"/>
  <c r="E31" i="1"/>
  <c r="T31" i="1" s="1"/>
  <c r="G29" i="14"/>
  <c r="V29" i="14" s="1"/>
  <c r="G27" i="3"/>
  <c r="G29" i="5"/>
  <c r="V29" i="5" s="1"/>
  <c r="G24" i="11"/>
  <c r="G25" i="11"/>
  <c r="D33" i="14"/>
  <c r="S33" i="14" s="1"/>
  <c r="D33" i="13"/>
  <c r="S33" i="13" s="1"/>
  <c r="H28" i="4"/>
  <c r="G10" i="4"/>
  <c r="G28" i="4" s="1"/>
  <c r="G28" i="11"/>
  <c r="G28" i="3"/>
  <c r="D14" i="1"/>
  <c r="E14" i="9"/>
  <c r="D32" i="9"/>
  <c r="S32" i="9" s="1"/>
  <c r="G27" i="9"/>
  <c r="G27" i="14"/>
  <c r="G27" i="10"/>
  <c r="G25" i="12"/>
  <c r="G29" i="15"/>
  <c r="V29" i="15" s="1"/>
  <c r="G29" i="8"/>
  <c r="V29" i="8" s="1"/>
  <c r="E29" i="16"/>
  <c r="T29" i="16" s="1"/>
  <c r="G25" i="14"/>
  <c r="C32" i="1"/>
  <c r="R32" i="1" s="1"/>
  <c r="G28" i="15"/>
  <c r="E14" i="13"/>
  <c r="D32" i="13"/>
  <c r="S32" i="13" s="1"/>
  <c r="F31" i="13"/>
  <c r="U31" i="13" s="1"/>
  <c r="H13" i="13"/>
  <c r="G28" i="6"/>
  <c r="G9" i="1"/>
  <c r="F9" i="1"/>
  <c r="G11" i="4"/>
  <c r="H29" i="4"/>
  <c r="W29" i="4" s="1"/>
  <c r="C30" i="3"/>
  <c r="R30" i="3" s="1"/>
  <c r="G27" i="7"/>
  <c r="G29" i="6"/>
  <c r="V29" i="6" s="1"/>
  <c r="G12" i="13"/>
  <c r="H30" i="13"/>
  <c r="W30" i="13" s="1"/>
  <c r="F32" i="14"/>
  <c r="U32" i="14" s="1"/>
  <c r="G28" i="7"/>
  <c r="G24" i="5"/>
  <c r="G25" i="5"/>
  <c r="G30" i="14"/>
  <c r="V30" i="14" s="1"/>
  <c r="G24" i="3"/>
  <c r="G25" i="3"/>
  <c r="G29" i="12"/>
  <c r="V29" i="12" s="1"/>
  <c r="G6" i="1"/>
  <c r="F6" i="1"/>
  <c r="G29" i="11"/>
  <c r="V29" i="11" s="1"/>
  <c r="G25" i="4"/>
  <c r="H24" i="16"/>
  <c r="F6" i="16"/>
  <c r="G6" i="16"/>
  <c r="F5" i="16"/>
  <c r="G5" i="16"/>
  <c r="G29" i="10"/>
  <c r="V29" i="10" s="1"/>
  <c r="H14" i="14"/>
  <c r="H9" i="16"/>
  <c r="G11" i="3"/>
  <c r="H29" i="3"/>
  <c r="W29" i="3" s="1"/>
  <c r="G27" i="5"/>
  <c r="G28" i="10"/>
  <c r="G28" i="8"/>
  <c r="F7" i="16"/>
  <c r="G7" i="16"/>
  <c r="H25" i="16"/>
  <c r="G24" i="16" l="1"/>
  <c r="C30" i="12"/>
  <c r="R30" i="12" s="1"/>
  <c r="E12" i="12"/>
  <c r="G29" i="4"/>
  <c r="V29" i="4" s="1"/>
  <c r="G30" i="9"/>
  <c r="V30" i="9" s="1"/>
  <c r="F24" i="16"/>
  <c r="E32" i="13"/>
  <c r="T32" i="13" s="1"/>
  <c r="H31" i="9"/>
  <c r="W31" i="9" s="1"/>
  <c r="G13" i="9"/>
  <c r="F32" i="9"/>
  <c r="U32" i="9" s="1"/>
  <c r="G25" i="16"/>
  <c r="F25" i="16"/>
  <c r="F26" i="16"/>
  <c r="H14" i="9"/>
  <c r="G26" i="16"/>
  <c r="G13" i="13"/>
  <c r="H31" i="13"/>
  <c r="W31" i="13" s="1"/>
  <c r="F10" i="16"/>
  <c r="G10" i="16"/>
  <c r="H28" i="16"/>
  <c r="G29" i="1"/>
  <c r="V29" i="1" s="1"/>
  <c r="D33" i="9"/>
  <c r="S33" i="9" s="1"/>
  <c r="D15" i="1"/>
  <c r="F15" i="1" s="1"/>
  <c r="G30" i="13"/>
  <c r="V30" i="13" s="1"/>
  <c r="E32" i="9"/>
  <c r="T32" i="9" s="1"/>
  <c r="F29" i="1"/>
  <c r="U29" i="1" s="1"/>
  <c r="G29" i="3"/>
  <c r="V29" i="3" s="1"/>
  <c r="D32" i="1"/>
  <c r="S32" i="1" s="1"/>
  <c r="E14" i="1"/>
  <c r="C31" i="12"/>
  <c r="R31" i="12" s="1"/>
  <c r="F9" i="16"/>
  <c r="G9" i="16"/>
  <c r="G27" i="16" s="1"/>
  <c r="H27" i="16"/>
  <c r="F11" i="16"/>
  <c r="H29" i="16"/>
  <c r="W29" i="16" s="1"/>
  <c r="G11" i="16"/>
  <c r="C30" i="6"/>
  <c r="R30" i="6" s="1"/>
  <c r="E12" i="6"/>
  <c r="G14" i="14"/>
  <c r="H32" i="14"/>
  <c r="W32" i="14" s="1"/>
  <c r="H31" i="14"/>
  <c r="W31" i="14" s="1"/>
  <c r="G13" i="14"/>
  <c r="C30" i="8"/>
  <c r="R30" i="8" s="1"/>
  <c r="E12" i="8"/>
  <c r="C32" i="12"/>
  <c r="R32" i="12" s="1"/>
  <c r="C30" i="7"/>
  <c r="R30" i="7" s="1"/>
  <c r="E12" i="7"/>
  <c r="H33" i="9" l="1"/>
  <c r="W33" i="9" s="1"/>
  <c r="E30" i="6"/>
  <c r="T30" i="6" s="1"/>
  <c r="E30" i="8"/>
  <c r="T30" i="8" s="1"/>
  <c r="E32" i="1"/>
  <c r="T32" i="1" s="1"/>
  <c r="G14" i="9"/>
  <c r="H32" i="9"/>
  <c r="W32" i="9" s="1"/>
  <c r="G29" i="16"/>
  <c r="V29" i="16" s="1"/>
  <c r="E30" i="7"/>
  <c r="T30" i="7" s="1"/>
  <c r="G31" i="14"/>
  <c r="V31" i="14" s="1"/>
  <c r="D33" i="1"/>
  <c r="S33" i="1" s="1"/>
  <c r="F33" i="14"/>
  <c r="U33" i="14" s="1"/>
  <c r="F29" i="16"/>
  <c r="U29" i="16" s="1"/>
  <c r="G31" i="13"/>
  <c r="V31" i="13" s="1"/>
  <c r="F33" i="9"/>
  <c r="U33" i="9" s="1"/>
  <c r="E30" i="12"/>
  <c r="T30" i="12" s="1"/>
  <c r="F30" i="11"/>
  <c r="U30" i="11" s="1"/>
  <c r="H12" i="11"/>
  <c r="H12" i="1" s="1"/>
  <c r="F12" i="1" s="1"/>
  <c r="G31" i="9"/>
  <c r="V31" i="9" s="1"/>
  <c r="F28" i="16"/>
  <c r="F27" i="16"/>
  <c r="G28" i="16"/>
  <c r="C30" i="4"/>
  <c r="R30" i="4" s="1"/>
  <c r="E12" i="4"/>
  <c r="G32" i="14"/>
  <c r="V32" i="14" s="1"/>
  <c r="F30" i="5" l="1"/>
  <c r="U30" i="5" s="1"/>
  <c r="H12" i="5"/>
  <c r="F30" i="10"/>
  <c r="U30" i="10" s="1"/>
  <c r="H12" i="10"/>
  <c r="F30" i="12"/>
  <c r="U30" i="12" s="1"/>
  <c r="H12" i="12"/>
  <c r="H33" i="14"/>
  <c r="W33" i="14" s="1"/>
  <c r="G12" i="11"/>
  <c r="H30" i="11"/>
  <c r="W30" i="11" s="1"/>
  <c r="F30" i="6"/>
  <c r="U30" i="6" s="1"/>
  <c r="H12" i="6"/>
  <c r="F30" i="7"/>
  <c r="U30" i="7" s="1"/>
  <c r="H12" i="7"/>
  <c r="F30" i="8"/>
  <c r="U30" i="8" s="1"/>
  <c r="H12" i="8"/>
  <c r="G32" i="9"/>
  <c r="V32" i="9" s="1"/>
  <c r="E30" i="4"/>
  <c r="T30" i="4" s="1"/>
  <c r="H30" i="6" l="1"/>
  <c r="W30" i="6" s="1"/>
  <c r="G12" i="6"/>
  <c r="G12" i="10"/>
  <c r="H30" i="10"/>
  <c r="W30" i="10" s="1"/>
  <c r="H30" i="8"/>
  <c r="W30" i="8" s="1"/>
  <c r="G12" i="8"/>
  <c r="H30" i="1"/>
  <c r="W30" i="1" s="1"/>
  <c r="G12" i="1"/>
  <c r="H30" i="5"/>
  <c r="W30" i="5" s="1"/>
  <c r="G30" i="11"/>
  <c r="V30" i="11" s="1"/>
  <c r="G12" i="12"/>
  <c r="H30" i="12"/>
  <c r="W30" i="12" s="1"/>
  <c r="F30" i="4"/>
  <c r="U30" i="4" s="1"/>
  <c r="H12" i="4"/>
  <c r="D12" i="16"/>
  <c r="D30" i="15"/>
  <c r="S30" i="15" s="1"/>
  <c r="D30" i="3"/>
  <c r="S30" i="3" s="1"/>
  <c r="E12" i="3"/>
  <c r="G12" i="7"/>
  <c r="H30" i="7"/>
  <c r="W30" i="7" s="1"/>
  <c r="G30" i="7" l="1"/>
  <c r="V30" i="7" s="1"/>
  <c r="E30" i="3"/>
  <c r="T30" i="3" s="1"/>
  <c r="G30" i="12"/>
  <c r="V30" i="12" s="1"/>
  <c r="F30" i="1"/>
  <c r="U30" i="1" s="1"/>
  <c r="G30" i="10"/>
  <c r="V30" i="10" s="1"/>
  <c r="D30" i="16"/>
  <c r="S30" i="16" s="1"/>
  <c r="G30" i="1"/>
  <c r="V30" i="1" s="1"/>
  <c r="G12" i="4"/>
  <c r="H30" i="4"/>
  <c r="W30" i="4" s="1"/>
  <c r="G30" i="6"/>
  <c r="V30" i="6" s="1"/>
  <c r="G30" i="8"/>
  <c r="V30" i="8" s="1"/>
  <c r="G30" i="4" l="1"/>
  <c r="V30" i="4" s="1"/>
  <c r="E13" i="12" l="1"/>
  <c r="D31" i="12"/>
  <c r="S31" i="12" s="1"/>
  <c r="E14" i="10"/>
  <c r="D32" i="10"/>
  <c r="S32" i="10" s="1"/>
  <c r="D33" i="10"/>
  <c r="S33" i="10" s="1"/>
  <c r="D32" i="8"/>
  <c r="S32" i="8" s="1"/>
  <c r="D33" i="8"/>
  <c r="S33" i="8" s="1"/>
  <c r="D32" i="12"/>
  <c r="S32" i="12" s="1"/>
  <c r="E14" i="12"/>
  <c r="D33" i="12"/>
  <c r="S33" i="12" s="1"/>
  <c r="E13" i="10"/>
  <c r="D31" i="10"/>
  <c r="S31" i="10" s="1"/>
  <c r="D31" i="8"/>
  <c r="S31" i="8" s="1"/>
  <c r="H13" i="8"/>
  <c r="H13" i="10"/>
  <c r="H13" i="12"/>
  <c r="G13" i="10" l="1"/>
  <c r="H31" i="10"/>
  <c r="W31" i="10" s="1"/>
  <c r="H31" i="8"/>
  <c r="W31" i="8" s="1"/>
  <c r="G13" i="12"/>
  <c r="H31" i="12"/>
  <c r="W31" i="12" s="1"/>
  <c r="D31" i="6"/>
  <c r="S31" i="6" s="1"/>
  <c r="H13" i="6"/>
  <c r="D31" i="7"/>
  <c r="S31" i="7" s="1"/>
  <c r="F31" i="10"/>
  <c r="U31" i="10" s="1"/>
  <c r="E31" i="10"/>
  <c r="T31" i="10" s="1"/>
  <c r="D31" i="5"/>
  <c r="S31" i="5" s="1"/>
  <c r="E13" i="5"/>
  <c r="D32" i="7"/>
  <c r="S32" i="7" s="1"/>
  <c r="D33" i="7"/>
  <c r="S33" i="7" s="1"/>
  <c r="D32" i="5"/>
  <c r="S32" i="5" s="1"/>
  <c r="D33" i="5"/>
  <c r="S33" i="5" s="1"/>
  <c r="D31" i="4"/>
  <c r="S31" i="4" s="1"/>
  <c r="E32" i="10"/>
  <c r="T32" i="10" s="1"/>
  <c r="F31" i="6"/>
  <c r="U31" i="6" s="1"/>
  <c r="F31" i="8"/>
  <c r="U31" i="8" s="1"/>
  <c r="H13" i="4"/>
  <c r="E31" i="12"/>
  <c r="T31" i="12" s="1"/>
  <c r="D32" i="6"/>
  <c r="S32" i="6" s="1"/>
  <c r="D33" i="6"/>
  <c r="S33" i="6" s="1"/>
  <c r="F31" i="12"/>
  <c r="U31" i="12" s="1"/>
  <c r="E32" i="12"/>
  <c r="T32" i="12" s="1"/>
  <c r="D32" i="4"/>
  <c r="S32" i="4" s="1"/>
  <c r="D33" i="4"/>
  <c r="S33" i="4" s="1"/>
  <c r="F31" i="7" l="1"/>
  <c r="U31" i="7" s="1"/>
  <c r="F31" i="5"/>
  <c r="U31" i="5" s="1"/>
  <c r="H31" i="6"/>
  <c r="W31" i="6" s="1"/>
  <c r="G31" i="12"/>
  <c r="V31" i="12" s="1"/>
  <c r="H13" i="5"/>
  <c r="H31" i="4"/>
  <c r="W31" i="4" s="1"/>
  <c r="H13" i="7"/>
  <c r="F31" i="11"/>
  <c r="U31" i="11" s="1"/>
  <c r="H13" i="11"/>
  <c r="H13" i="1" s="1"/>
  <c r="F13" i="1" s="1"/>
  <c r="F31" i="4"/>
  <c r="U31" i="4" s="1"/>
  <c r="G31" i="10"/>
  <c r="V31" i="10" s="1"/>
  <c r="G13" i="5" l="1"/>
  <c r="H31" i="5"/>
  <c r="W31" i="5" s="1"/>
  <c r="H31" i="11"/>
  <c r="W31" i="11" s="1"/>
  <c r="G13" i="11"/>
  <c r="H31" i="7"/>
  <c r="W31" i="7" s="1"/>
  <c r="H31" i="1" l="1"/>
  <c r="W31" i="1" s="1"/>
  <c r="G13" i="1"/>
  <c r="G31" i="11"/>
  <c r="V31" i="11" s="1"/>
  <c r="F31" i="1" l="1"/>
  <c r="U31" i="1" s="1"/>
  <c r="G31" i="1"/>
  <c r="V31" i="1" s="1"/>
  <c r="F30" i="3" l="1"/>
  <c r="U30" i="3" s="1"/>
  <c r="H12" i="3"/>
  <c r="G12" i="3" l="1"/>
  <c r="H30" i="3"/>
  <c r="W30" i="3" s="1"/>
  <c r="G30" i="3" l="1"/>
  <c r="V30" i="3" s="1"/>
  <c r="C31" i="7" l="1"/>
  <c r="R31" i="7" s="1"/>
  <c r="E13" i="7"/>
  <c r="G13" i="7"/>
  <c r="C31" i="8"/>
  <c r="R31" i="8" s="1"/>
  <c r="E13" i="8"/>
  <c r="G13" i="8"/>
  <c r="C31" i="6" l="1"/>
  <c r="R31" i="6" s="1"/>
  <c r="E13" i="6"/>
  <c r="G13" i="6"/>
  <c r="C32" i="6"/>
  <c r="R32" i="6" s="1"/>
  <c r="E14" i="6"/>
  <c r="C32" i="8"/>
  <c r="R32" i="8" s="1"/>
  <c r="E14" i="8"/>
  <c r="G31" i="8"/>
  <c r="V31" i="8" s="1"/>
  <c r="E31" i="8"/>
  <c r="T31" i="8" s="1"/>
  <c r="G31" i="7"/>
  <c r="V31" i="7" s="1"/>
  <c r="E31" i="7"/>
  <c r="T31" i="7" s="1"/>
  <c r="C32" i="5"/>
  <c r="R32" i="5" s="1"/>
  <c r="E14" i="5"/>
  <c r="C32" i="7"/>
  <c r="R32" i="7" s="1"/>
  <c r="E14" i="7"/>
  <c r="E32" i="5" l="1"/>
  <c r="T32" i="5" s="1"/>
  <c r="C32" i="4"/>
  <c r="R32" i="4" s="1"/>
  <c r="E14" i="4"/>
  <c r="E32" i="8"/>
  <c r="T32" i="8" s="1"/>
  <c r="E32" i="6"/>
  <c r="T32" i="6" s="1"/>
  <c r="E32" i="7"/>
  <c r="T32" i="7" s="1"/>
  <c r="C31" i="4"/>
  <c r="R31" i="4" s="1"/>
  <c r="E13" i="4"/>
  <c r="G13" i="4"/>
  <c r="G31" i="6"/>
  <c r="V31" i="6" s="1"/>
  <c r="E31" i="6"/>
  <c r="T31" i="6" s="1"/>
  <c r="G31" i="4" l="1"/>
  <c r="V31" i="4" s="1"/>
  <c r="E31" i="4"/>
  <c r="T31" i="4" s="1"/>
  <c r="E32" i="4"/>
  <c r="T32" i="4" s="1"/>
  <c r="C31" i="3" l="1"/>
  <c r="R31" i="3" s="1"/>
  <c r="C32" i="3" l="1"/>
  <c r="R32" i="3" s="1"/>
  <c r="C32" i="15"/>
  <c r="R32" i="15" s="1"/>
  <c r="C14" i="16"/>
  <c r="C13" i="16"/>
  <c r="C32" i="16" l="1"/>
  <c r="R32" i="16" s="1"/>
  <c r="F30" i="15" l="1"/>
  <c r="U30" i="15" s="1"/>
  <c r="H12" i="16" l="1"/>
  <c r="H30" i="15"/>
  <c r="W30" i="15" s="1"/>
  <c r="F12" i="16" l="1"/>
  <c r="H30" i="16"/>
  <c r="W30" i="16" s="1"/>
  <c r="F30" i="16" l="1"/>
  <c r="U30" i="16" s="1"/>
  <c r="C30" i="5" l="1"/>
  <c r="R30" i="5" s="1"/>
  <c r="E12" i="5"/>
  <c r="C31" i="5"/>
  <c r="R31" i="5" s="1"/>
  <c r="G12" i="5"/>
  <c r="C12" i="16" l="1"/>
  <c r="C30" i="15"/>
  <c r="R30" i="15" s="1"/>
  <c r="C31" i="15"/>
  <c r="R31" i="15" s="1"/>
  <c r="G30" i="5"/>
  <c r="V30" i="5" s="1"/>
  <c r="G31" i="5"/>
  <c r="V31" i="5" s="1"/>
  <c r="E30" i="5"/>
  <c r="T30" i="5" s="1"/>
  <c r="E31" i="5"/>
  <c r="T31" i="5" s="1"/>
  <c r="G30" i="15" l="1"/>
  <c r="V30" i="15" s="1"/>
  <c r="C30" i="16"/>
  <c r="R30" i="16" s="1"/>
  <c r="E12" i="16"/>
  <c r="C31" i="16"/>
  <c r="R31" i="16" s="1"/>
  <c r="G12" i="16"/>
  <c r="E30" i="15"/>
  <c r="T30" i="15" s="1"/>
  <c r="G30" i="16" l="1"/>
  <c r="V30" i="16" s="1"/>
  <c r="E30" i="16"/>
  <c r="T30" i="16" s="1"/>
  <c r="D31" i="15" l="1"/>
  <c r="S31" i="15" s="1"/>
  <c r="D13" i="16"/>
  <c r="F31" i="3" l="1"/>
  <c r="U31" i="3" s="1"/>
  <c r="E31" i="15"/>
  <c r="T31" i="15" s="1"/>
  <c r="E13" i="3"/>
  <c r="D31" i="3"/>
  <c r="S31" i="3" s="1"/>
  <c r="H13" i="3"/>
  <c r="D31" i="16"/>
  <c r="S31" i="16" s="1"/>
  <c r="E13" i="16"/>
  <c r="E31" i="16" l="1"/>
  <c r="T31" i="16" s="1"/>
  <c r="F31" i="15"/>
  <c r="U31" i="15" s="1"/>
  <c r="H31" i="3"/>
  <c r="W31" i="3" s="1"/>
  <c r="G13" i="3"/>
  <c r="E31" i="3"/>
  <c r="T31" i="3" s="1"/>
  <c r="G31" i="3" l="1"/>
  <c r="V31" i="3" s="1"/>
  <c r="H13" i="16"/>
  <c r="H31" i="15"/>
  <c r="W31" i="15" s="1"/>
  <c r="G31" i="15" l="1"/>
  <c r="V31" i="15" s="1"/>
  <c r="F13" i="16"/>
  <c r="G13" i="16"/>
  <c r="H31" i="16"/>
  <c r="W31" i="16" s="1"/>
  <c r="F31" i="16" l="1"/>
  <c r="U31" i="16" s="1"/>
  <c r="G31" i="16"/>
  <c r="V31" i="16" s="1"/>
  <c r="D15" i="16" l="1"/>
  <c r="D32" i="3" l="1"/>
  <c r="S32" i="3" s="1"/>
  <c r="E14" i="3"/>
  <c r="D33" i="3"/>
  <c r="S33" i="3" s="1"/>
  <c r="D14" i="16"/>
  <c r="D32" i="15"/>
  <c r="S32" i="15" s="1"/>
  <c r="D33" i="15"/>
  <c r="S33" i="15" s="1"/>
  <c r="E32" i="3" l="1"/>
  <c r="T32" i="3" s="1"/>
  <c r="E14" i="16"/>
  <c r="D32" i="16"/>
  <c r="S32" i="16" s="1"/>
  <c r="D33" i="16"/>
  <c r="S33" i="16" s="1"/>
  <c r="E32" i="15"/>
  <c r="T32" i="15" s="1"/>
  <c r="E32" i="16" l="1"/>
  <c r="T32" i="16" s="1"/>
  <c r="F32" i="11" l="1"/>
  <c r="U32" i="11" s="1"/>
  <c r="H14" i="11"/>
  <c r="G14" i="11" l="1"/>
  <c r="H32" i="11"/>
  <c r="W32" i="11" s="1"/>
  <c r="G32" i="11" l="1"/>
  <c r="V32" i="11" s="1"/>
  <c r="F33" i="11" l="1"/>
  <c r="U33" i="11" s="1"/>
  <c r="H33" i="11" l="1"/>
  <c r="W33" i="11" s="1"/>
  <c r="F32" i="12" l="1"/>
  <c r="U32" i="12" s="1"/>
  <c r="H14" i="12"/>
  <c r="H32" i="12" l="1"/>
  <c r="W32" i="12" s="1"/>
  <c r="G14" i="12"/>
  <c r="F32" i="7"/>
  <c r="U32" i="7" s="1"/>
  <c r="H14" i="7"/>
  <c r="F32" i="6" l="1"/>
  <c r="U32" i="6" s="1"/>
  <c r="H14" i="6"/>
  <c r="F32" i="5"/>
  <c r="U32" i="5" s="1"/>
  <c r="H14" i="5"/>
  <c r="G14" i="7"/>
  <c r="H32" i="7"/>
  <c r="W32" i="7" s="1"/>
  <c r="F32" i="13"/>
  <c r="U32" i="13" s="1"/>
  <c r="H14" i="13"/>
  <c r="H14" i="1" s="1"/>
  <c r="F14" i="1" s="1"/>
  <c r="G32" i="12"/>
  <c r="V32" i="12" s="1"/>
  <c r="F32" i="8"/>
  <c r="U32" i="8" s="1"/>
  <c r="H14" i="8"/>
  <c r="F32" i="10"/>
  <c r="U32" i="10" s="1"/>
  <c r="H14" i="10"/>
  <c r="F32" i="3"/>
  <c r="U32" i="3" s="1"/>
  <c r="H14" i="3"/>
  <c r="G14" i="10" l="1"/>
  <c r="H32" i="10"/>
  <c r="W32" i="10" s="1"/>
  <c r="F32" i="15"/>
  <c r="U32" i="15" s="1"/>
  <c r="G32" i="7"/>
  <c r="V32" i="7" s="1"/>
  <c r="G14" i="8"/>
  <c r="H32" i="8"/>
  <c r="W32" i="8" s="1"/>
  <c r="H32" i="6"/>
  <c r="W32" i="6" s="1"/>
  <c r="G14" i="6"/>
  <c r="F32" i="4"/>
  <c r="U32" i="4" s="1"/>
  <c r="H14" i="4"/>
  <c r="G14" i="5"/>
  <c r="H32" i="5"/>
  <c r="W32" i="5" s="1"/>
  <c r="H32" i="13"/>
  <c r="W32" i="13" s="1"/>
  <c r="G14" i="13"/>
  <c r="G14" i="3"/>
  <c r="H32" i="3"/>
  <c r="W32" i="3" s="1"/>
  <c r="G32" i="13" l="1"/>
  <c r="V32" i="13" s="1"/>
  <c r="H32" i="15"/>
  <c r="W32" i="15" s="1"/>
  <c r="H14" i="16"/>
  <c r="G32" i="8"/>
  <c r="V32" i="8" s="1"/>
  <c r="G32" i="5"/>
  <c r="V32" i="5" s="1"/>
  <c r="G14" i="4"/>
  <c r="H32" i="4"/>
  <c r="W32" i="4" s="1"/>
  <c r="G32" i="3"/>
  <c r="V32" i="3" s="1"/>
  <c r="G32" i="6"/>
  <c r="V32" i="6" s="1"/>
  <c r="G14" i="1"/>
  <c r="H32" i="1"/>
  <c r="W32" i="1" s="1"/>
  <c r="G32" i="10"/>
  <c r="V32" i="10" s="1"/>
  <c r="G32" i="4" l="1"/>
  <c r="V32" i="4" s="1"/>
  <c r="F32" i="1"/>
  <c r="U32" i="1" s="1"/>
  <c r="G14" i="16"/>
  <c r="F14" i="16"/>
  <c r="H32" i="16"/>
  <c r="W32" i="16" s="1"/>
  <c r="G32" i="15"/>
  <c r="V32" i="15" s="1"/>
  <c r="G32" i="1"/>
  <c r="V32" i="1" s="1"/>
  <c r="G32" i="16" l="1"/>
  <c r="V32" i="16" s="1"/>
  <c r="F32" i="16"/>
  <c r="U32" i="16" s="1"/>
  <c r="F33" i="13" l="1"/>
  <c r="U33" i="13" s="1"/>
  <c r="H33" i="13" l="1"/>
  <c r="W33" i="13" s="1"/>
  <c r="F33" i="10" l="1"/>
  <c r="U33" i="10" s="1"/>
  <c r="F33" i="12"/>
  <c r="U33" i="12" s="1"/>
  <c r="F33" i="8"/>
  <c r="U33" i="8" s="1"/>
  <c r="H33" i="12" l="1"/>
  <c r="W33" i="12" s="1"/>
  <c r="H33" i="10"/>
  <c r="W33" i="10" s="1"/>
  <c r="H33" i="8"/>
  <c r="W33" i="8" s="1"/>
  <c r="F33" i="6"/>
  <c r="U33" i="6" s="1"/>
  <c r="F33" i="7"/>
  <c r="U33" i="7" s="1"/>
  <c r="H33" i="7" l="1"/>
  <c r="W33" i="7" s="1"/>
  <c r="F33" i="5"/>
  <c r="U33" i="5" s="1"/>
  <c r="H33" i="6"/>
  <c r="W33" i="6" s="1"/>
  <c r="H33" i="5" l="1"/>
  <c r="W33" i="5" s="1"/>
  <c r="F33" i="3" l="1"/>
  <c r="U33" i="3" s="1"/>
  <c r="H15" i="3"/>
  <c r="H33" i="3" l="1"/>
  <c r="W33" i="3" s="1"/>
  <c r="F33" i="15" l="1"/>
  <c r="U33" i="15" s="1"/>
  <c r="F33" i="4"/>
  <c r="U33" i="4" s="1"/>
  <c r="H33" i="4" l="1"/>
  <c r="W33" i="4" s="1"/>
  <c r="H33" i="15"/>
  <c r="W33" i="15" s="1"/>
  <c r="H15" i="16" l="1"/>
  <c r="H33" i="16" s="1"/>
  <c r="W33" i="16" s="1"/>
  <c r="H33" i="1"/>
  <c r="W33" i="1" s="1"/>
  <c r="F33" i="1"/>
  <c r="U33" i="1" s="1"/>
  <c r="F15" i="16" l="1"/>
  <c r="F33" i="16" l="1"/>
  <c r="U33" i="16" s="1"/>
  <c r="F34" i="14" l="1"/>
  <c r="U34" i="14" s="1"/>
  <c r="F34" i="9" l="1"/>
  <c r="U34" i="9" s="1"/>
  <c r="F34" i="12"/>
  <c r="U34" i="12" s="1"/>
  <c r="F34" i="7"/>
  <c r="U34" i="7" s="1"/>
  <c r="F34" i="13"/>
  <c r="U34" i="13" s="1"/>
  <c r="F34" i="11"/>
  <c r="U34" i="11" s="1"/>
  <c r="F34" i="8"/>
  <c r="U34" i="8" s="1"/>
  <c r="F34" i="10"/>
  <c r="U34" i="10" s="1"/>
  <c r="F34" i="3" l="1"/>
  <c r="U34" i="3" s="1"/>
  <c r="F34" i="6"/>
  <c r="U34" i="6" s="1"/>
  <c r="F34" i="4"/>
  <c r="U34" i="4" s="1"/>
  <c r="F34" i="5"/>
  <c r="U34" i="5" s="1"/>
  <c r="H20" i="2" l="1"/>
  <c r="D34" i="12"/>
  <c r="S34" i="12" s="1"/>
  <c r="H16" i="2"/>
  <c r="D34" i="8"/>
  <c r="S34" i="8" s="1"/>
  <c r="D16" i="1"/>
  <c r="D34" i="9"/>
  <c r="S34" i="9" s="1"/>
  <c r="H17" i="2"/>
  <c r="H19" i="2"/>
  <c r="D34" i="11"/>
  <c r="S34" i="11" s="1"/>
  <c r="H21" i="2"/>
  <c r="D34" i="13"/>
  <c r="S34" i="13" s="1"/>
  <c r="D34" i="10"/>
  <c r="S34" i="10" s="1"/>
  <c r="H18" i="2"/>
  <c r="D34" i="7"/>
  <c r="S34" i="7" s="1"/>
  <c r="H15" i="2"/>
  <c r="D34" i="14"/>
  <c r="S34" i="14" s="1"/>
  <c r="H22" i="2"/>
  <c r="H9" i="2" l="1"/>
  <c r="U19" i="2"/>
  <c r="U21" i="2"/>
  <c r="U18" i="2"/>
  <c r="U16" i="2"/>
  <c r="H62" i="2"/>
  <c r="H34" i="12"/>
  <c r="W34" i="12" s="1"/>
  <c r="D34" i="1"/>
  <c r="S34" i="1" s="1"/>
  <c r="H34" i="7"/>
  <c r="W34" i="7" s="1"/>
  <c r="H57" i="2"/>
  <c r="H61" i="2"/>
  <c r="H34" i="11"/>
  <c r="W34" i="11" s="1"/>
  <c r="H64" i="2"/>
  <c r="H34" i="14"/>
  <c r="W34" i="14" s="1"/>
  <c r="U22" i="2"/>
  <c r="H58" i="2"/>
  <c r="H34" i="8"/>
  <c r="W34" i="8" s="1"/>
  <c r="H13" i="2"/>
  <c r="D34" i="5"/>
  <c r="S34" i="5" s="1"/>
  <c r="H16" i="5"/>
  <c r="H34" i="10"/>
  <c r="W34" i="10" s="1"/>
  <c r="H60" i="2"/>
  <c r="D34" i="4"/>
  <c r="S34" i="4" s="1"/>
  <c r="H12" i="2"/>
  <c r="H16" i="4"/>
  <c r="U20" i="2"/>
  <c r="H16" i="1"/>
  <c r="H34" i="9"/>
  <c r="W34" i="9" s="1"/>
  <c r="H59" i="2"/>
  <c r="H63" i="2"/>
  <c r="H34" i="13"/>
  <c r="W34" i="13" s="1"/>
  <c r="D34" i="15"/>
  <c r="S34" i="15" s="1"/>
  <c r="D16" i="16"/>
  <c r="H8" i="2"/>
  <c r="H14" i="2"/>
  <c r="D34" i="6"/>
  <c r="S34" i="6" s="1"/>
  <c r="U15" i="2"/>
  <c r="U17" i="2"/>
  <c r="H11" i="2"/>
  <c r="D34" i="3"/>
  <c r="S34" i="3" s="1"/>
  <c r="H16" i="3"/>
  <c r="H10" i="2" l="1"/>
  <c r="H55" i="2"/>
  <c r="H34" i="5"/>
  <c r="W34" i="5" s="1"/>
  <c r="H34" i="3"/>
  <c r="W34" i="3" s="1"/>
  <c r="H53" i="2"/>
  <c r="H34" i="6"/>
  <c r="W34" i="6" s="1"/>
  <c r="H56" i="2"/>
  <c r="U64" i="2"/>
  <c r="U13" i="2"/>
  <c r="U11" i="2"/>
  <c r="U14" i="2"/>
  <c r="U61" i="2"/>
  <c r="U62" i="2"/>
  <c r="U58" i="2"/>
  <c r="U8" i="2"/>
  <c r="U57" i="2"/>
  <c r="U59" i="2"/>
  <c r="F16" i="1"/>
  <c r="H34" i="1"/>
  <c r="W34" i="1" s="1"/>
  <c r="D34" i="16"/>
  <c r="S34" i="16" s="1"/>
  <c r="U63" i="2"/>
  <c r="H54" i="2"/>
  <c r="H34" i="4"/>
  <c r="W34" i="4" s="1"/>
  <c r="U12" i="2"/>
  <c r="U60" i="2"/>
  <c r="U54" i="2" l="1"/>
  <c r="U56" i="2"/>
  <c r="U55" i="2"/>
  <c r="U53" i="2"/>
  <c r="F34" i="1"/>
  <c r="U34" i="1" s="1"/>
  <c r="F34" i="15" l="1"/>
  <c r="U34" i="15" s="1"/>
  <c r="H16" i="16" l="1"/>
  <c r="H50" i="2"/>
  <c r="H34" i="15"/>
  <c r="W34" i="15" s="1"/>
  <c r="U50" i="2" l="1"/>
  <c r="F16" i="16"/>
  <c r="H34" i="16"/>
  <c r="W34" i="16" s="1"/>
  <c r="F34" i="16" l="1"/>
  <c r="U34" i="16" s="1"/>
  <c r="E15" i="13" l="1"/>
  <c r="G15" i="13"/>
  <c r="C33" i="13"/>
  <c r="R33" i="13" s="1"/>
  <c r="E15" i="6"/>
  <c r="G15" i="6"/>
  <c r="C33" i="6"/>
  <c r="R33" i="6" s="1"/>
  <c r="E16" i="6"/>
  <c r="G16" i="6"/>
  <c r="C34" i="6"/>
  <c r="R34" i="6" s="1"/>
  <c r="E15" i="8"/>
  <c r="G15" i="8"/>
  <c r="C33" i="8"/>
  <c r="R33" i="8" s="1"/>
  <c r="E15" i="5"/>
  <c r="G15" i="5"/>
  <c r="C33" i="5"/>
  <c r="R33" i="5" s="1"/>
  <c r="E16" i="3"/>
  <c r="G16" i="3"/>
  <c r="E16" i="7"/>
  <c r="C34" i="7"/>
  <c r="R34" i="7" s="1"/>
  <c r="G16" i="7"/>
  <c r="C34" i="4"/>
  <c r="R34" i="4" s="1"/>
  <c r="G16" i="4"/>
  <c r="E16" i="4"/>
  <c r="E15" i="12"/>
  <c r="G15" i="12"/>
  <c r="C33" i="12"/>
  <c r="R33" i="12" s="1"/>
  <c r="E15" i="4"/>
  <c r="G15" i="4"/>
  <c r="C33" i="4"/>
  <c r="R33" i="4" s="1"/>
  <c r="C34" i="13"/>
  <c r="R34" i="13" s="1"/>
  <c r="E16" i="13"/>
  <c r="G16" i="13"/>
  <c r="E15" i="11"/>
  <c r="G15" i="11"/>
  <c r="C33" i="11"/>
  <c r="R33" i="11" s="1"/>
  <c r="C34" i="14"/>
  <c r="R34" i="14" s="1"/>
  <c r="G16" i="14"/>
  <c r="E16" i="14"/>
  <c r="E16" i="11"/>
  <c r="G16" i="11"/>
  <c r="C34" i="11"/>
  <c r="R34" i="11" s="1"/>
  <c r="E15" i="14"/>
  <c r="G15" i="14"/>
  <c r="C33" i="14"/>
  <c r="R33" i="14" s="1"/>
  <c r="E15" i="9"/>
  <c r="G15" i="9"/>
  <c r="C33" i="9"/>
  <c r="R33" i="9" s="1"/>
  <c r="C15" i="1"/>
  <c r="E15" i="10"/>
  <c r="G15" i="10"/>
  <c r="C33" i="10"/>
  <c r="R33" i="10" s="1"/>
  <c r="E15" i="7"/>
  <c r="G15" i="7"/>
  <c r="C33" i="7"/>
  <c r="R33" i="7" s="1"/>
  <c r="G16" i="8"/>
  <c r="C34" i="8"/>
  <c r="R34" i="8" s="1"/>
  <c r="E16" i="8"/>
  <c r="G16" i="12"/>
  <c r="C34" i="12"/>
  <c r="R34" i="12" s="1"/>
  <c r="E16" i="12"/>
  <c r="C34" i="9"/>
  <c r="R34" i="9" s="1"/>
  <c r="C16" i="1"/>
  <c r="G16" i="9"/>
  <c r="E16" i="9"/>
  <c r="E16" i="5"/>
  <c r="C34" i="5"/>
  <c r="R34" i="5" s="1"/>
  <c r="G16" i="5"/>
  <c r="E33" i="8" l="1"/>
  <c r="T33" i="8" s="1"/>
  <c r="E34" i="4"/>
  <c r="T34" i="4" s="1"/>
  <c r="H33" i="2"/>
  <c r="G33" i="11"/>
  <c r="V33" i="11" s="1"/>
  <c r="E33" i="14"/>
  <c r="T33" i="14" s="1"/>
  <c r="G34" i="6"/>
  <c r="V34" i="6" s="1"/>
  <c r="G34" i="12"/>
  <c r="V34" i="12" s="1"/>
  <c r="G34" i="4"/>
  <c r="V34" i="4" s="1"/>
  <c r="H36" i="2"/>
  <c r="E34" i="7"/>
  <c r="T34" i="7" s="1"/>
  <c r="H42" i="2"/>
  <c r="E34" i="13"/>
  <c r="T34" i="13" s="1"/>
  <c r="G33" i="14"/>
  <c r="V33" i="14" s="1"/>
  <c r="G34" i="9"/>
  <c r="V34" i="9" s="1"/>
  <c r="E34" i="11"/>
  <c r="T34" i="11" s="1"/>
  <c r="H40" i="2"/>
  <c r="E33" i="4"/>
  <c r="T33" i="4" s="1"/>
  <c r="H32" i="2"/>
  <c r="E33" i="11"/>
  <c r="T33" i="11" s="1"/>
  <c r="G33" i="6"/>
  <c r="V33" i="6" s="1"/>
  <c r="E34" i="5"/>
  <c r="T34" i="5" s="1"/>
  <c r="H34" i="2"/>
  <c r="E33" i="6"/>
  <c r="T33" i="6" s="1"/>
  <c r="G33" i="9"/>
  <c r="V33" i="9" s="1"/>
  <c r="E33" i="9"/>
  <c r="T33" i="9" s="1"/>
  <c r="G33" i="8"/>
  <c r="V33" i="8" s="1"/>
  <c r="G34" i="8"/>
  <c r="V34" i="8" s="1"/>
  <c r="E33" i="7"/>
  <c r="T33" i="7" s="1"/>
  <c r="G16" i="1"/>
  <c r="C34" i="1"/>
  <c r="R34" i="1" s="1"/>
  <c r="E16" i="1"/>
  <c r="G34" i="13"/>
  <c r="V34" i="13" s="1"/>
  <c r="E34" i="6"/>
  <c r="T34" i="6" s="1"/>
  <c r="H35" i="2"/>
  <c r="H38" i="2"/>
  <c r="E34" i="9"/>
  <c r="T34" i="9" s="1"/>
  <c r="E34" i="14"/>
  <c r="T34" i="14" s="1"/>
  <c r="H43" i="2"/>
  <c r="E33" i="10"/>
  <c r="T33" i="10" s="1"/>
  <c r="G34" i="14"/>
  <c r="V34" i="14" s="1"/>
  <c r="G34" i="5"/>
  <c r="V34" i="5" s="1"/>
  <c r="G33" i="7"/>
  <c r="V33" i="7" s="1"/>
  <c r="G34" i="11"/>
  <c r="V34" i="11" s="1"/>
  <c r="G33" i="4"/>
  <c r="V33" i="4" s="1"/>
  <c r="E16" i="10"/>
  <c r="C34" i="10"/>
  <c r="R34" i="10" s="1"/>
  <c r="G16" i="10"/>
  <c r="G33" i="10"/>
  <c r="V33" i="10" s="1"/>
  <c r="E34" i="12"/>
  <c r="T34" i="12" s="1"/>
  <c r="H41" i="2"/>
  <c r="C33" i="1"/>
  <c r="R33" i="1" s="1"/>
  <c r="E15" i="1"/>
  <c r="G15" i="1"/>
  <c r="G33" i="12"/>
  <c r="V33" i="12" s="1"/>
  <c r="G33" i="5"/>
  <c r="V33" i="5" s="1"/>
  <c r="G33" i="13"/>
  <c r="V33" i="13" s="1"/>
  <c r="H37" i="2"/>
  <c r="E34" i="8"/>
  <c r="T34" i="8" s="1"/>
  <c r="G34" i="7"/>
  <c r="V34" i="7" s="1"/>
  <c r="E33" i="12"/>
  <c r="T33" i="12" s="1"/>
  <c r="E33" i="5"/>
  <c r="T33" i="5" s="1"/>
  <c r="E33" i="13"/>
  <c r="T33" i="13" s="1"/>
  <c r="U34" i="2" l="1"/>
  <c r="U40" i="2"/>
  <c r="C33" i="3"/>
  <c r="R33" i="3" s="1"/>
  <c r="E15" i="3"/>
  <c r="G15" i="3"/>
  <c r="C34" i="3"/>
  <c r="R34" i="3" s="1"/>
  <c r="E34" i="10"/>
  <c r="T34" i="10" s="1"/>
  <c r="H39" i="2"/>
  <c r="U37" i="2"/>
  <c r="U33" i="2"/>
  <c r="U43" i="2"/>
  <c r="U42" i="2"/>
  <c r="U32" i="2"/>
  <c r="U38" i="2"/>
  <c r="E33" i="1"/>
  <c r="T33" i="1" s="1"/>
  <c r="U36" i="2"/>
  <c r="U41" i="2"/>
  <c r="E34" i="1"/>
  <c r="T34" i="1" s="1"/>
  <c r="G33" i="1"/>
  <c r="V33" i="1" s="1"/>
  <c r="U35" i="2"/>
  <c r="G34" i="10"/>
  <c r="V34" i="10" s="1"/>
  <c r="G34" i="1"/>
  <c r="V34" i="1" s="1"/>
  <c r="U39" i="2" l="1"/>
  <c r="G33" i="3"/>
  <c r="V33" i="3" s="1"/>
  <c r="G34" i="3"/>
  <c r="V34" i="3" s="1"/>
  <c r="E33" i="3"/>
  <c r="T33" i="3" s="1"/>
  <c r="E34" i="3"/>
  <c r="T34" i="3" s="1"/>
  <c r="C35" i="4" l="1"/>
  <c r="R35" i="4" s="1"/>
  <c r="R17" i="4"/>
  <c r="R17" i="5"/>
  <c r="C35" i="5"/>
  <c r="R35" i="5" s="1"/>
  <c r="R17" i="7"/>
  <c r="C35" i="7"/>
  <c r="R35" i="7" s="1"/>
  <c r="R17" i="6" l="1"/>
  <c r="C35" i="6"/>
  <c r="R35" i="6" s="1"/>
  <c r="S17" i="12" l="1"/>
  <c r="I20" i="2"/>
  <c r="D35" i="12"/>
  <c r="S35" i="12" s="1"/>
  <c r="I17" i="2"/>
  <c r="D35" i="9"/>
  <c r="S35" i="9" s="1"/>
  <c r="S17" i="9"/>
  <c r="D17" i="1"/>
  <c r="I16" i="2"/>
  <c r="S17" i="8"/>
  <c r="D35" i="8"/>
  <c r="S35" i="8" s="1"/>
  <c r="I14" i="2"/>
  <c r="S17" i="6"/>
  <c r="D35" i="6"/>
  <c r="S35" i="6" s="1"/>
  <c r="E17" i="6"/>
  <c r="S17" i="3"/>
  <c r="I11" i="2"/>
  <c r="D35" i="3"/>
  <c r="S35" i="3" s="1"/>
  <c r="D35" i="11"/>
  <c r="S35" i="11" s="1"/>
  <c r="S17" i="11"/>
  <c r="I19" i="2"/>
  <c r="I18" i="2"/>
  <c r="D35" i="10"/>
  <c r="S35" i="10" s="1"/>
  <c r="S17" i="10"/>
  <c r="S17" i="14"/>
  <c r="I22" i="2"/>
  <c r="D35" i="14"/>
  <c r="S35" i="14" s="1"/>
  <c r="I12" i="2"/>
  <c r="D35" i="4"/>
  <c r="S35" i="4" s="1"/>
  <c r="S17" i="4"/>
  <c r="E17" i="4"/>
  <c r="I13" i="2"/>
  <c r="D35" i="5"/>
  <c r="S35" i="5" s="1"/>
  <c r="S17" i="5"/>
  <c r="E17" i="5"/>
  <c r="S17" i="13"/>
  <c r="D35" i="13"/>
  <c r="S35" i="13" s="1"/>
  <c r="I21" i="2"/>
  <c r="I15" i="2"/>
  <c r="D35" i="7"/>
  <c r="S35" i="7" s="1"/>
  <c r="S17" i="7"/>
  <c r="E17" i="7"/>
  <c r="I10" i="2" l="1"/>
  <c r="I9" i="2"/>
  <c r="U17" i="14"/>
  <c r="F35" i="14"/>
  <c r="U35" i="14" s="1"/>
  <c r="H17" i="14"/>
  <c r="H35" i="14" s="1"/>
  <c r="W35" i="14" s="1"/>
  <c r="V13" i="2"/>
  <c r="V16" i="2"/>
  <c r="T17" i="4"/>
  <c r="I33" i="2"/>
  <c r="E35" i="4"/>
  <c r="T35" i="4" s="1"/>
  <c r="V19" i="2"/>
  <c r="D35" i="1"/>
  <c r="S35" i="1" s="1"/>
  <c r="S17" i="1"/>
  <c r="I34" i="2"/>
  <c r="E35" i="5"/>
  <c r="T35" i="5" s="1"/>
  <c r="T17" i="5"/>
  <c r="V12" i="2"/>
  <c r="V17" i="2"/>
  <c r="T17" i="7"/>
  <c r="I36" i="2"/>
  <c r="E35" i="7"/>
  <c r="T35" i="7" s="1"/>
  <c r="V11" i="2"/>
  <c r="V22" i="2"/>
  <c r="E35" i="6"/>
  <c r="T35" i="6" s="1"/>
  <c r="I35" i="2"/>
  <c r="T17" i="6"/>
  <c r="V14" i="2"/>
  <c r="V21" i="2"/>
  <c r="V18" i="2"/>
  <c r="V20" i="2"/>
  <c r="V15" i="2"/>
  <c r="I64" i="2" l="1"/>
  <c r="W17" i="14"/>
  <c r="U17" i="8"/>
  <c r="F35" i="8"/>
  <c r="U35" i="8" s="1"/>
  <c r="H17" i="8"/>
  <c r="F35" i="12"/>
  <c r="U35" i="12" s="1"/>
  <c r="U17" i="12"/>
  <c r="H17" i="12"/>
  <c r="F35" i="7"/>
  <c r="U35" i="7" s="1"/>
  <c r="U17" i="7"/>
  <c r="H17" i="7"/>
  <c r="F35" i="6"/>
  <c r="U35" i="6" s="1"/>
  <c r="U17" i="6"/>
  <c r="H17" i="6"/>
  <c r="U17" i="5"/>
  <c r="F35" i="5"/>
  <c r="U35" i="5" s="1"/>
  <c r="H17" i="5"/>
  <c r="U17" i="9"/>
  <c r="F35" i="9"/>
  <c r="U35" i="9" s="1"/>
  <c r="H17" i="9"/>
  <c r="F35" i="11"/>
  <c r="U35" i="11" s="1"/>
  <c r="U17" i="11"/>
  <c r="H17" i="11"/>
  <c r="F35" i="13"/>
  <c r="U35" i="13" s="1"/>
  <c r="U17" i="13"/>
  <c r="H17" i="13"/>
  <c r="F35" i="10"/>
  <c r="U35" i="10" s="1"/>
  <c r="U17" i="10"/>
  <c r="H17" i="10"/>
  <c r="F35" i="4"/>
  <c r="U35" i="4" s="1"/>
  <c r="U17" i="4"/>
  <c r="H17" i="4"/>
  <c r="V36" i="2"/>
  <c r="V34" i="2"/>
  <c r="V35" i="2"/>
  <c r="V33" i="2"/>
  <c r="V64" i="2"/>
  <c r="I60" i="2" l="1"/>
  <c r="H35" i="10"/>
  <c r="W35" i="10" s="1"/>
  <c r="W17" i="10"/>
  <c r="I56" i="2"/>
  <c r="G17" i="6"/>
  <c r="W17" i="6"/>
  <c r="H35" i="6"/>
  <c r="W35" i="6" s="1"/>
  <c r="W17" i="13"/>
  <c r="H35" i="13"/>
  <c r="W35" i="13" s="1"/>
  <c r="I63" i="2"/>
  <c r="I57" i="2"/>
  <c r="G17" i="7"/>
  <c r="H35" i="7"/>
  <c r="W35" i="7" s="1"/>
  <c r="W17" i="7"/>
  <c r="W17" i="11"/>
  <c r="I61" i="2"/>
  <c r="H35" i="11"/>
  <c r="W35" i="11" s="1"/>
  <c r="I62" i="2"/>
  <c r="H35" i="12"/>
  <c r="W35" i="12" s="1"/>
  <c r="W17" i="12"/>
  <c r="W17" i="9"/>
  <c r="I59" i="2"/>
  <c r="H17" i="1"/>
  <c r="H35" i="9"/>
  <c r="W35" i="9" s="1"/>
  <c r="I58" i="2"/>
  <c r="H35" i="8"/>
  <c r="W35" i="8" s="1"/>
  <c r="W17" i="8"/>
  <c r="W17" i="4"/>
  <c r="H35" i="4"/>
  <c r="W35" i="4" s="1"/>
  <c r="G17" i="4"/>
  <c r="I54" i="2"/>
  <c r="H35" i="5"/>
  <c r="W35" i="5" s="1"/>
  <c r="W17" i="5"/>
  <c r="I55" i="2"/>
  <c r="G17" i="5"/>
  <c r="V17" i="4" l="1"/>
  <c r="G35" i="4"/>
  <c r="V35" i="4" s="1"/>
  <c r="V58" i="2"/>
  <c r="V62" i="2"/>
  <c r="G35" i="6"/>
  <c r="V35" i="6" s="1"/>
  <c r="V17" i="6"/>
  <c r="G35" i="5"/>
  <c r="V35" i="5" s="1"/>
  <c r="V17" i="5"/>
  <c r="G35" i="7"/>
  <c r="V35" i="7" s="1"/>
  <c r="V17" i="7"/>
  <c r="V56" i="2"/>
  <c r="V61" i="2"/>
  <c r="V55" i="2"/>
  <c r="F17" i="1"/>
  <c r="H35" i="1"/>
  <c r="W35" i="1" s="1"/>
  <c r="W17" i="1"/>
  <c r="V57" i="2"/>
  <c r="V59" i="2"/>
  <c r="V63" i="2"/>
  <c r="V54" i="2"/>
  <c r="V60" i="2"/>
  <c r="F35" i="1" l="1"/>
  <c r="U35" i="1" s="1"/>
  <c r="U17" i="1"/>
  <c r="U17" i="3" l="1"/>
  <c r="F35" i="3"/>
  <c r="U35" i="3" s="1"/>
  <c r="H17" i="3"/>
  <c r="W17" i="3" l="1"/>
  <c r="H35" i="3"/>
  <c r="W35" i="3" s="1"/>
  <c r="I53" i="2"/>
  <c r="V53" i="2" l="1"/>
  <c r="U17" i="15" l="1"/>
  <c r="F35" i="15"/>
  <c r="U35" i="15" s="1"/>
  <c r="C35" i="3" l="1"/>
  <c r="R35" i="3" s="1"/>
  <c r="R17" i="3"/>
  <c r="E17" i="3"/>
  <c r="G17" i="3"/>
  <c r="G35" i="3" l="1"/>
  <c r="V35" i="3" s="1"/>
  <c r="V17" i="3"/>
  <c r="E35" i="3"/>
  <c r="T35" i="3" s="1"/>
  <c r="T17" i="3"/>
  <c r="I32" i="2"/>
  <c r="V32" i="2" l="1"/>
  <c r="G15" i="15" l="1"/>
  <c r="E15" i="15"/>
  <c r="C33" i="15"/>
  <c r="R33" i="15" s="1"/>
  <c r="C15" i="16"/>
  <c r="E33" i="15" l="1"/>
  <c r="T33" i="15" s="1"/>
  <c r="C33" i="16"/>
  <c r="R33" i="16" s="1"/>
  <c r="G15" i="16"/>
  <c r="E15" i="16"/>
  <c r="G33" i="15"/>
  <c r="V33" i="15" s="1"/>
  <c r="G33" i="16" l="1"/>
  <c r="V33" i="16" s="1"/>
  <c r="E33" i="16"/>
  <c r="T33" i="16" s="1"/>
  <c r="G16" i="15" l="1"/>
  <c r="C16" i="16"/>
  <c r="E16" i="15"/>
  <c r="C34" i="15"/>
  <c r="R34" i="15" s="1"/>
  <c r="C35" i="12" l="1"/>
  <c r="R35" i="12" s="1"/>
  <c r="R17" i="12"/>
  <c r="E17" i="12"/>
  <c r="G17" i="12"/>
  <c r="C35" i="9"/>
  <c r="R35" i="9" s="1"/>
  <c r="R17" i="9"/>
  <c r="E17" i="9"/>
  <c r="G17" i="9"/>
  <c r="C36" i="7"/>
  <c r="R36" i="7" s="1"/>
  <c r="R18" i="7"/>
  <c r="C35" i="10"/>
  <c r="R35" i="10" s="1"/>
  <c r="R17" i="10"/>
  <c r="E17" i="10"/>
  <c r="G17" i="10"/>
  <c r="R17" i="8"/>
  <c r="C35" i="8"/>
  <c r="R35" i="8" s="1"/>
  <c r="E17" i="8"/>
  <c r="G17" i="8"/>
  <c r="C17" i="1"/>
  <c r="R17" i="11"/>
  <c r="C35" i="11"/>
  <c r="R35" i="11" s="1"/>
  <c r="E17" i="11"/>
  <c r="G17" i="11"/>
  <c r="R18" i="12"/>
  <c r="C36" i="12"/>
  <c r="R36" i="12" s="1"/>
  <c r="G16" i="16"/>
  <c r="E16" i="16"/>
  <c r="C34" i="16"/>
  <c r="R34" i="16" s="1"/>
  <c r="H29" i="2"/>
  <c r="U29" i="2" s="1"/>
  <c r="E34" i="15"/>
  <c r="T34" i="15" s="1"/>
  <c r="G34" i="15"/>
  <c r="V34" i="15" s="1"/>
  <c r="I39" i="2" l="1"/>
  <c r="V39" i="2" s="1"/>
  <c r="E35" i="10"/>
  <c r="T35" i="10" s="1"/>
  <c r="T17" i="10"/>
  <c r="R17" i="1"/>
  <c r="C35" i="1"/>
  <c r="R35" i="1" s="1"/>
  <c r="E17" i="1"/>
  <c r="G17" i="1"/>
  <c r="R17" i="14"/>
  <c r="C35" i="14"/>
  <c r="R35" i="14" s="1"/>
  <c r="E17" i="14"/>
  <c r="G17" i="14"/>
  <c r="R19" i="4"/>
  <c r="I37" i="2"/>
  <c r="V37" i="2" s="1"/>
  <c r="T17" i="8"/>
  <c r="E35" i="8"/>
  <c r="T35" i="8" s="1"/>
  <c r="G35" i="10"/>
  <c r="V35" i="10" s="1"/>
  <c r="V17" i="10"/>
  <c r="R20" i="5"/>
  <c r="C37" i="7"/>
  <c r="R37" i="7" s="1"/>
  <c r="R19" i="7"/>
  <c r="V17" i="9"/>
  <c r="G35" i="9"/>
  <c r="V35" i="9" s="1"/>
  <c r="R18" i="8"/>
  <c r="C36" i="8"/>
  <c r="R36" i="8" s="1"/>
  <c r="V17" i="11"/>
  <c r="G35" i="11"/>
  <c r="V35" i="11" s="1"/>
  <c r="I40" i="2"/>
  <c r="V40" i="2" s="1"/>
  <c r="T17" i="11"/>
  <c r="E35" i="11"/>
  <c r="T35" i="11" s="1"/>
  <c r="C36" i="10"/>
  <c r="R36" i="10" s="1"/>
  <c r="R18" i="10"/>
  <c r="R19" i="10"/>
  <c r="C37" i="10"/>
  <c r="R37" i="10" s="1"/>
  <c r="G35" i="8"/>
  <c r="V35" i="8" s="1"/>
  <c r="V17" i="8"/>
  <c r="I38" i="2"/>
  <c r="V38" i="2" s="1"/>
  <c r="E35" i="9"/>
  <c r="T35" i="9" s="1"/>
  <c r="T17" i="9"/>
  <c r="C36" i="11"/>
  <c r="R36" i="11" s="1"/>
  <c r="R18" i="11"/>
  <c r="G35" i="12"/>
  <c r="V35" i="12" s="1"/>
  <c r="V17" i="12"/>
  <c r="E35" i="12"/>
  <c r="T35" i="12" s="1"/>
  <c r="T17" i="12"/>
  <c r="I41" i="2"/>
  <c r="V41" i="2" s="1"/>
  <c r="C36" i="6"/>
  <c r="R36" i="6" s="1"/>
  <c r="R18" i="6"/>
  <c r="R17" i="13"/>
  <c r="C35" i="13"/>
  <c r="R35" i="13" s="1"/>
  <c r="E17" i="13"/>
  <c r="G17" i="13"/>
  <c r="E34" i="16"/>
  <c r="T34" i="16" s="1"/>
  <c r="G34" i="16"/>
  <c r="V34" i="16" s="1"/>
  <c r="C39" i="12"/>
  <c r="R39" i="12" s="1"/>
  <c r="C39" i="5" l="1"/>
  <c r="R39" i="5" s="1"/>
  <c r="C38" i="5"/>
  <c r="R38" i="5" s="1"/>
  <c r="C38" i="12"/>
  <c r="R38" i="12" s="1"/>
  <c r="R18" i="4"/>
  <c r="C36" i="4"/>
  <c r="R36" i="4" s="1"/>
  <c r="C37" i="4"/>
  <c r="R37" i="4" s="1"/>
  <c r="G35" i="14"/>
  <c r="V35" i="14" s="1"/>
  <c r="V17" i="14"/>
  <c r="C37" i="9"/>
  <c r="R37" i="9" s="1"/>
  <c r="R19" i="9"/>
  <c r="C37" i="14"/>
  <c r="R37" i="14" s="1"/>
  <c r="R19" i="14"/>
  <c r="C36" i="9"/>
  <c r="R36" i="9" s="1"/>
  <c r="R18" i="9"/>
  <c r="C18" i="1"/>
  <c r="R18" i="5"/>
  <c r="C36" i="5"/>
  <c r="R36" i="5" s="1"/>
  <c r="V17" i="1"/>
  <c r="G35" i="1"/>
  <c r="V35" i="1" s="1"/>
  <c r="R18" i="14"/>
  <c r="C36" i="14"/>
  <c r="R36" i="14" s="1"/>
  <c r="C37" i="12"/>
  <c r="R37" i="12" s="1"/>
  <c r="R19" i="12"/>
  <c r="T17" i="14"/>
  <c r="E35" i="14"/>
  <c r="T35" i="14" s="1"/>
  <c r="I43" i="2"/>
  <c r="V43" i="2" s="1"/>
  <c r="R20" i="8"/>
  <c r="R19" i="13"/>
  <c r="C19" i="1"/>
  <c r="G35" i="13"/>
  <c r="V35" i="13" s="1"/>
  <c r="V17" i="13"/>
  <c r="E35" i="1"/>
  <c r="T35" i="1" s="1"/>
  <c r="T17" i="1"/>
  <c r="R20" i="12"/>
  <c r="C37" i="6"/>
  <c r="R37" i="6" s="1"/>
  <c r="R19" i="6"/>
  <c r="E35" i="13"/>
  <c r="T35" i="13" s="1"/>
  <c r="T17" i="13"/>
  <c r="I42" i="2"/>
  <c r="V42" i="2" s="1"/>
  <c r="R19" i="5"/>
  <c r="C37" i="5"/>
  <c r="R37" i="5" s="1"/>
  <c r="R20" i="7"/>
  <c r="C38" i="7"/>
  <c r="R38" i="7" s="1"/>
  <c r="C38" i="4"/>
  <c r="R38" i="4" s="1"/>
  <c r="R20" i="4"/>
  <c r="C38" i="10"/>
  <c r="R38" i="10" s="1"/>
  <c r="R20" i="10"/>
  <c r="C39" i="8"/>
  <c r="R39" i="8" s="1"/>
  <c r="C39" i="7"/>
  <c r="R39" i="7" s="1"/>
  <c r="C39" i="4"/>
  <c r="R39" i="4" s="1"/>
  <c r="C39" i="10"/>
  <c r="R39" i="10" s="1"/>
  <c r="C38" i="8" l="1"/>
  <c r="R38" i="8" s="1"/>
  <c r="R19" i="1"/>
  <c r="C37" i="1"/>
  <c r="R37" i="1" s="1"/>
  <c r="C38" i="13"/>
  <c r="R38" i="13" s="1"/>
  <c r="R20" i="13"/>
  <c r="R20" i="9"/>
  <c r="C38" i="9"/>
  <c r="R38" i="9" s="1"/>
  <c r="R19" i="11"/>
  <c r="C37" i="11"/>
  <c r="R37" i="11" s="1"/>
  <c r="C20" i="1"/>
  <c r="C36" i="1"/>
  <c r="R36" i="1" s="1"/>
  <c r="R18" i="1"/>
  <c r="C36" i="13"/>
  <c r="R36" i="13" s="1"/>
  <c r="R18" i="13"/>
  <c r="C37" i="13"/>
  <c r="R37" i="13" s="1"/>
  <c r="R19" i="8"/>
  <c r="C37" i="8"/>
  <c r="R37" i="8" s="1"/>
  <c r="C39" i="6"/>
  <c r="R39" i="6" s="1"/>
  <c r="R20" i="6"/>
  <c r="C38" i="6"/>
  <c r="R38" i="6" s="1"/>
  <c r="C39" i="9"/>
  <c r="R39" i="9" s="1"/>
  <c r="C39" i="13"/>
  <c r="R39" i="13" s="1"/>
  <c r="R20" i="1" l="1"/>
  <c r="C38" i="1"/>
  <c r="R38" i="1" s="1"/>
  <c r="C21" i="1"/>
  <c r="R20" i="11"/>
  <c r="C38" i="11"/>
  <c r="R38" i="11" s="1"/>
  <c r="C39" i="14"/>
  <c r="R39" i="14" s="1"/>
  <c r="C39" i="11"/>
  <c r="R39" i="11" s="1"/>
  <c r="R20" i="14"/>
  <c r="C38" i="14"/>
  <c r="R38" i="14" s="1"/>
  <c r="C39" i="1" l="1"/>
  <c r="R39" i="1" s="1"/>
  <c r="R21" i="1"/>
  <c r="S18" i="9"/>
  <c r="D36" i="9"/>
  <c r="S36" i="9" s="1"/>
  <c r="E18" i="9"/>
  <c r="D18" i="1"/>
  <c r="J17" i="2"/>
  <c r="E18" i="12"/>
  <c r="J20" i="2"/>
  <c r="W20" i="2" s="1"/>
  <c r="S18" i="12"/>
  <c r="D36" i="12"/>
  <c r="S36" i="12" s="1"/>
  <c r="J19" i="2"/>
  <c r="W19" i="2" s="1"/>
  <c r="D36" i="11"/>
  <c r="S36" i="11" s="1"/>
  <c r="E18" i="11"/>
  <c r="S18" i="11"/>
  <c r="J12" i="2"/>
  <c r="W12" i="2" s="1"/>
  <c r="S18" i="4"/>
  <c r="E18" i="4"/>
  <c r="D36" i="4"/>
  <c r="S36" i="4" s="1"/>
  <c r="J22" i="2"/>
  <c r="W22" i="2" s="1"/>
  <c r="E18" i="14"/>
  <c r="S18" i="14"/>
  <c r="D36" i="14"/>
  <c r="S36" i="14" s="1"/>
  <c r="D36" i="10"/>
  <c r="S36" i="10" s="1"/>
  <c r="J18" i="2"/>
  <c r="W18" i="2" s="1"/>
  <c r="S18" i="10"/>
  <c r="E18" i="10"/>
  <c r="E18" i="8"/>
  <c r="J16" i="2"/>
  <c r="W16" i="2" s="1"/>
  <c r="S18" i="8"/>
  <c r="D36" i="8"/>
  <c r="S36" i="8" s="1"/>
  <c r="E18" i="5"/>
  <c r="S18" i="5"/>
  <c r="J13" i="2"/>
  <c r="W13" i="2" s="1"/>
  <c r="D36" i="5"/>
  <c r="S36" i="5" s="1"/>
  <c r="D36" i="13"/>
  <c r="S36" i="13" s="1"/>
  <c r="E18" i="13"/>
  <c r="J21" i="2"/>
  <c r="W21" i="2" s="1"/>
  <c r="S18" i="13"/>
  <c r="D36" i="6"/>
  <c r="S36" i="6" s="1"/>
  <c r="J14" i="2"/>
  <c r="W14" i="2" s="1"/>
  <c r="S18" i="6"/>
  <c r="E18" i="6"/>
  <c r="D36" i="7"/>
  <c r="S36" i="7" s="1"/>
  <c r="J15" i="2"/>
  <c r="W15" i="2" s="1"/>
  <c r="S18" i="7"/>
  <c r="E18" i="7"/>
  <c r="D36" i="3"/>
  <c r="S36" i="3" s="1"/>
  <c r="S18" i="3"/>
  <c r="J11" i="2"/>
  <c r="H17" i="15"/>
  <c r="H18" i="14"/>
  <c r="W17" i="2" l="1"/>
  <c r="J9" i="2"/>
  <c r="W11" i="2"/>
  <c r="J10" i="2"/>
  <c r="U18" i="14"/>
  <c r="F36" i="14"/>
  <c r="U36" i="14" s="1"/>
  <c r="T18" i="11"/>
  <c r="J40" i="2"/>
  <c r="W40" i="2" s="1"/>
  <c r="E36" i="11"/>
  <c r="T36" i="11" s="1"/>
  <c r="D37" i="8"/>
  <c r="S37" i="8" s="1"/>
  <c r="E19" i="8"/>
  <c r="K16" i="2"/>
  <c r="X16" i="2" s="1"/>
  <c r="S19" i="8"/>
  <c r="T18" i="14"/>
  <c r="E36" i="14"/>
  <c r="T36" i="14" s="1"/>
  <c r="J43" i="2"/>
  <c r="W43" i="2" s="1"/>
  <c r="S19" i="10"/>
  <c r="K18" i="2"/>
  <c r="X18" i="2" s="1"/>
  <c r="D37" i="10"/>
  <c r="S37" i="10" s="1"/>
  <c r="E19" i="10"/>
  <c r="G18" i="14"/>
  <c r="J64" i="2"/>
  <c r="W64" i="2" s="1"/>
  <c r="H36" i="14"/>
  <c r="W36" i="14" s="1"/>
  <c r="W18" i="14"/>
  <c r="K12" i="2"/>
  <c r="X12" i="2" s="1"/>
  <c r="S19" i="4"/>
  <c r="D37" i="4"/>
  <c r="S37" i="4" s="1"/>
  <c r="E19" i="4"/>
  <c r="J34" i="2"/>
  <c r="W34" i="2" s="1"/>
  <c r="E36" i="5"/>
  <c r="T36" i="5" s="1"/>
  <c r="T18" i="5"/>
  <c r="K22" i="2"/>
  <c r="X22" i="2" s="1"/>
  <c r="E19" i="14"/>
  <c r="S19" i="14"/>
  <c r="D37" i="14"/>
  <c r="S37" i="14" s="1"/>
  <c r="E36" i="7"/>
  <c r="T36" i="7" s="1"/>
  <c r="J36" i="2"/>
  <c r="W36" i="2" s="1"/>
  <c r="T18" i="7"/>
  <c r="E18" i="1"/>
  <c r="D36" i="1"/>
  <c r="S36" i="1" s="1"/>
  <c r="S18" i="1"/>
  <c r="J41" i="2"/>
  <c r="W41" i="2" s="1"/>
  <c r="T18" i="12"/>
  <c r="E36" i="12"/>
  <c r="T36" i="12" s="1"/>
  <c r="D37" i="12"/>
  <c r="S37" i="12" s="1"/>
  <c r="E19" i="12"/>
  <c r="K20" i="2"/>
  <c r="X20" i="2" s="1"/>
  <c r="S19" i="12"/>
  <c r="T18" i="4"/>
  <c r="E36" i="4"/>
  <c r="T36" i="4" s="1"/>
  <c r="J33" i="2"/>
  <c r="W33" i="2" s="1"/>
  <c r="J38" i="2"/>
  <c r="W38" i="2" s="1"/>
  <c r="T18" i="9"/>
  <c r="E36" i="9"/>
  <c r="T36" i="9" s="1"/>
  <c r="J39" i="2"/>
  <c r="W39" i="2" s="1"/>
  <c r="E36" i="10"/>
  <c r="T36" i="10" s="1"/>
  <c r="T18" i="10"/>
  <c r="E19" i="13"/>
  <c r="K21" i="2"/>
  <c r="X21" i="2" s="1"/>
  <c r="D37" i="13"/>
  <c r="S37" i="13" s="1"/>
  <c r="S19" i="13"/>
  <c r="K13" i="2"/>
  <c r="X13" i="2" s="1"/>
  <c r="E19" i="5"/>
  <c r="S19" i="5"/>
  <c r="D37" i="5"/>
  <c r="S37" i="5" s="1"/>
  <c r="S19" i="11"/>
  <c r="E19" i="11"/>
  <c r="D37" i="11"/>
  <c r="S37" i="11" s="1"/>
  <c r="K19" i="2"/>
  <c r="X19" i="2" s="1"/>
  <c r="J37" i="2"/>
  <c r="W37" i="2" s="1"/>
  <c r="T18" i="8"/>
  <c r="E36" i="8"/>
  <c r="T36" i="8" s="1"/>
  <c r="T18" i="13"/>
  <c r="E36" i="13"/>
  <c r="T36" i="13" s="1"/>
  <c r="J42" i="2"/>
  <c r="W42" i="2" s="1"/>
  <c r="D19" i="1"/>
  <c r="K17" i="2"/>
  <c r="D37" i="9"/>
  <c r="S37" i="9" s="1"/>
  <c r="S19" i="9"/>
  <c r="E19" i="9"/>
  <c r="K14" i="2"/>
  <c r="X14" i="2" s="1"/>
  <c r="E19" i="6"/>
  <c r="S19" i="6"/>
  <c r="D37" i="6"/>
  <c r="S37" i="6" s="1"/>
  <c r="J35" i="2"/>
  <c r="W35" i="2" s="1"/>
  <c r="E36" i="6"/>
  <c r="T36" i="6" s="1"/>
  <c r="T18" i="6"/>
  <c r="D37" i="7"/>
  <c r="S37" i="7" s="1"/>
  <c r="E19" i="7"/>
  <c r="K15" i="2"/>
  <c r="X15" i="2" s="1"/>
  <c r="S19" i="7"/>
  <c r="I8" i="2"/>
  <c r="V8" i="2" s="1"/>
  <c r="S17" i="15"/>
  <c r="D35" i="15"/>
  <c r="S35" i="15" s="1"/>
  <c r="D17" i="16"/>
  <c r="D37" i="3"/>
  <c r="S37" i="3" s="1"/>
  <c r="S19" i="3"/>
  <c r="K11" i="2"/>
  <c r="J8" i="2"/>
  <c r="S18" i="15"/>
  <c r="D36" i="15"/>
  <c r="S36" i="15" s="1"/>
  <c r="D18" i="16"/>
  <c r="H19" i="14"/>
  <c r="X11" i="2" l="1"/>
  <c r="K10" i="2"/>
  <c r="X17" i="2"/>
  <c r="K9" i="2"/>
  <c r="U18" i="9"/>
  <c r="F36" i="9"/>
  <c r="U36" i="9" s="1"/>
  <c r="H18" i="9"/>
  <c r="F36" i="8"/>
  <c r="U36" i="8" s="1"/>
  <c r="U18" i="8"/>
  <c r="H18" i="8"/>
  <c r="F37" i="14"/>
  <c r="U37" i="14" s="1"/>
  <c r="U19" i="14"/>
  <c r="U18" i="11"/>
  <c r="F36" i="11"/>
  <c r="U36" i="11" s="1"/>
  <c r="H18" i="11"/>
  <c r="F36" i="7"/>
  <c r="U36" i="7" s="1"/>
  <c r="U18" i="7"/>
  <c r="H18" i="7"/>
  <c r="F36" i="12"/>
  <c r="U36" i="12" s="1"/>
  <c r="U18" i="12"/>
  <c r="H18" i="12"/>
  <c r="U18" i="6"/>
  <c r="F36" i="6"/>
  <c r="U36" i="6" s="1"/>
  <c r="H18" i="6"/>
  <c r="U18" i="10"/>
  <c r="F36" i="10"/>
  <c r="U36" i="10" s="1"/>
  <c r="H18" i="10"/>
  <c r="F36" i="13"/>
  <c r="U36" i="13" s="1"/>
  <c r="U18" i="13"/>
  <c r="H18" i="13"/>
  <c r="U18" i="5"/>
  <c r="F36" i="5"/>
  <c r="U36" i="5" s="1"/>
  <c r="H18" i="5"/>
  <c r="U18" i="4"/>
  <c r="F36" i="4"/>
  <c r="U36" i="4" s="1"/>
  <c r="H18" i="4"/>
  <c r="T18" i="1"/>
  <c r="E36" i="1"/>
  <c r="T36" i="1" s="1"/>
  <c r="S20" i="7"/>
  <c r="L15" i="2"/>
  <c r="D38" i="7"/>
  <c r="S38" i="7" s="1"/>
  <c r="E20" i="7"/>
  <c r="S20" i="6"/>
  <c r="D38" i="6"/>
  <c r="S38" i="6" s="1"/>
  <c r="L14" i="2"/>
  <c r="E20" i="6"/>
  <c r="K43" i="2"/>
  <c r="X43" i="2" s="1"/>
  <c r="E37" i="14"/>
  <c r="T37" i="14" s="1"/>
  <c r="T19" i="14"/>
  <c r="E20" i="10"/>
  <c r="L18" i="2"/>
  <c r="D38" i="10"/>
  <c r="S38" i="10" s="1"/>
  <c r="S20" i="10"/>
  <c r="S19" i="1"/>
  <c r="E19" i="1"/>
  <c r="D37" i="1"/>
  <c r="S37" i="1" s="1"/>
  <c r="E37" i="4"/>
  <c r="T37" i="4" s="1"/>
  <c r="K33" i="2"/>
  <c r="X33" i="2" s="1"/>
  <c r="T19" i="4"/>
  <c r="E37" i="8"/>
  <c r="T37" i="8" s="1"/>
  <c r="T19" i="8"/>
  <c r="K37" i="2"/>
  <c r="X37" i="2" s="1"/>
  <c r="T19" i="13"/>
  <c r="E37" i="13"/>
  <c r="T37" i="13" s="1"/>
  <c r="K42" i="2"/>
  <c r="X42" i="2" s="1"/>
  <c r="T19" i="6"/>
  <c r="E37" i="6"/>
  <c r="T37" i="6" s="1"/>
  <c r="K35" i="2"/>
  <c r="X35" i="2" s="1"/>
  <c r="G19" i="14"/>
  <c r="K64" i="2"/>
  <c r="X64" i="2" s="1"/>
  <c r="W19" i="14"/>
  <c r="H37" i="14"/>
  <c r="W37" i="14" s="1"/>
  <c r="S20" i="11"/>
  <c r="L19" i="2"/>
  <c r="D38" i="11"/>
  <c r="S38" i="11" s="1"/>
  <c r="E20" i="11"/>
  <c r="T19" i="7"/>
  <c r="K36" i="2"/>
  <c r="X36" i="2" s="1"/>
  <c r="E37" i="7"/>
  <c r="T37" i="7" s="1"/>
  <c r="S20" i="14"/>
  <c r="L22" i="2"/>
  <c r="D38" i="14"/>
  <c r="S38" i="14" s="1"/>
  <c r="E20" i="14"/>
  <c r="V18" i="14"/>
  <c r="G36" i="14"/>
  <c r="V36" i="14" s="1"/>
  <c r="T19" i="11"/>
  <c r="K40" i="2"/>
  <c r="X40" i="2" s="1"/>
  <c r="E37" i="11"/>
  <c r="T37" i="11" s="1"/>
  <c r="E37" i="10"/>
  <c r="T37" i="10" s="1"/>
  <c r="K39" i="2"/>
  <c r="X39" i="2" s="1"/>
  <c r="T19" i="10"/>
  <c r="D38" i="12"/>
  <c r="S38" i="12" s="1"/>
  <c r="S20" i="12"/>
  <c r="E20" i="12"/>
  <c r="L20" i="2"/>
  <c r="T19" i="12"/>
  <c r="E37" i="12"/>
  <c r="T37" i="12" s="1"/>
  <c r="K41" i="2"/>
  <c r="X41" i="2" s="1"/>
  <c r="E20" i="4"/>
  <c r="S20" i="4"/>
  <c r="L12" i="2"/>
  <c r="D38" i="4"/>
  <c r="S38" i="4" s="1"/>
  <c r="L17" i="2"/>
  <c r="D20" i="1"/>
  <c r="S20" i="9"/>
  <c r="D38" i="9"/>
  <c r="S38" i="9" s="1"/>
  <c r="E20" i="9"/>
  <c r="S20" i="8"/>
  <c r="L16" i="2"/>
  <c r="D38" i="8"/>
  <c r="S38" i="8" s="1"/>
  <c r="E20" i="8"/>
  <c r="E37" i="5"/>
  <c r="T37" i="5" s="1"/>
  <c r="K34" i="2"/>
  <c r="X34" i="2" s="1"/>
  <c r="T19" i="5"/>
  <c r="D38" i="13"/>
  <c r="S38" i="13" s="1"/>
  <c r="L21" i="2"/>
  <c r="E20" i="13"/>
  <c r="S20" i="13"/>
  <c r="E20" i="5"/>
  <c r="D38" i="5"/>
  <c r="S38" i="5" s="1"/>
  <c r="S20" i="5"/>
  <c r="L13" i="2"/>
  <c r="W8" i="2"/>
  <c r="E37" i="9"/>
  <c r="T37" i="9" s="1"/>
  <c r="T19" i="9"/>
  <c r="K38" i="2"/>
  <c r="X38" i="2" s="1"/>
  <c r="S17" i="16"/>
  <c r="D35" i="16"/>
  <c r="S35" i="16" s="1"/>
  <c r="L11" i="2"/>
  <c r="S20" i="3"/>
  <c r="D38" i="3"/>
  <c r="S38" i="3" s="1"/>
  <c r="H17" i="16"/>
  <c r="I50" i="2"/>
  <c r="V50" i="2" s="1"/>
  <c r="W17" i="15"/>
  <c r="H35" i="15"/>
  <c r="W35" i="15" s="1"/>
  <c r="S18" i="16"/>
  <c r="D36" i="16"/>
  <c r="S36" i="16" s="1"/>
  <c r="D19" i="16"/>
  <c r="D37" i="15"/>
  <c r="S37" i="15" s="1"/>
  <c r="S19" i="15"/>
  <c r="K8" i="2"/>
  <c r="X8" i="2" s="1"/>
  <c r="H20" i="14"/>
  <c r="L10" i="2" l="1"/>
  <c r="L9" i="2"/>
  <c r="G18" i="6"/>
  <c r="H36" i="6"/>
  <c r="W36" i="6" s="1"/>
  <c r="J56" i="2"/>
  <c r="W56" i="2" s="1"/>
  <c r="W18" i="6"/>
  <c r="F37" i="11"/>
  <c r="U37" i="11" s="1"/>
  <c r="U19" i="11"/>
  <c r="H19" i="11"/>
  <c r="H36" i="7"/>
  <c r="W36" i="7" s="1"/>
  <c r="J57" i="2"/>
  <c r="W57" i="2" s="1"/>
  <c r="W18" i="7"/>
  <c r="G18" i="7"/>
  <c r="U19" i="9"/>
  <c r="F37" i="9"/>
  <c r="U37" i="9" s="1"/>
  <c r="H19" i="9"/>
  <c r="J61" i="2"/>
  <c r="W61" i="2" s="1"/>
  <c r="W18" i="11"/>
  <c r="H36" i="11"/>
  <c r="W36" i="11" s="1"/>
  <c r="G18" i="11"/>
  <c r="H36" i="13"/>
  <c r="W36" i="13" s="1"/>
  <c r="G18" i="13"/>
  <c r="W18" i="13"/>
  <c r="J63" i="2"/>
  <c r="W63" i="2" s="1"/>
  <c r="J58" i="2"/>
  <c r="W18" i="8"/>
  <c r="G18" i="8"/>
  <c r="H36" i="8"/>
  <c r="W36" i="8" s="1"/>
  <c r="F37" i="12"/>
  <c r="U37" i="12" s="1"/>
  <c r="U19" i="12"/>
  <c r="H19" i="12"/>
  <c r="U20" i="14"/>
  <c r="F38" i="14"/>
  <c r="U38" i="14" s="1"/>
  <c r="U19" i="6"/>
  <c r="F37" i="6"/>
  <c r="U37" i="6" s="1"/>
  <c r="H19" i="6"/>
  <c r="U19" i="13"/>
  <c r="F37" i="13"/>
  <c r="U37" i="13" s="1"/>
  <c r="H19" i="13"/>
  <c r="F37" i="10"/>
  <c r="U37" i="10" s="1"/>
  <c r="U19" i="10"/>
  <c r="H19" i="10"/>
  <c r="H36" i="10"/>
  <c r="W36" i="10" s="1"/>
  <c r="W18" i="10"/>
  <c r="G18" i="10"/>
  <c r="J60" i="2"/>
  <c r="W60" i="2" s="1"/>
  <c r="H18" i="1"/>
  <c r="H36" i="9"/>
  <c r="W36" i="9" s="1"/>
  <c r="J59" i="2"/>
  <c r="W59" i="2" s="1"/>
  <c r="G18" i="9"/>
  <c r="W18" i="9"/>
  <c r="F37" i="7"/>
  <c r="U37" i="7" s="1"/>
  <c r="U19" i="7"/>
  <c r="H19" i="7"/>
  <c r="G18" i="12"/>
  <c r="J62" i="2"/>
  <c r="W62" i="2" s="1"/>
  <c r="W18" i="12"/>
  <c r="H36" i="12"/>
  <c r="W36" i="12" s="1"/>
  <c r="U19" i="8"/>
  <c r="F37" i="8"/>
  <c r="U37" i="8" s="1"/>
  <c r="H19" i="8"/>
  <c r="J55" i="2"/>
  <c r="W55" i="2" s="1"/>
  <c r="G18" i="5"/>
  <c r="W18" i="5"/>
  <c r="H36" i="5"/>
  <c r="W36" i="5" s="1"/>
  <c r="U19" i="5"/>
  <c r="F37" i="5"/>
  <c r="U37" i="5" s="1"/>
  <c r="H19" i="5"/>
  <c r="U19" i="4"/>
  <c r="F37" i="4"/>
  <c r="U37" i="4" s="1"/>
  <c r="H19" i="4"/>
  <c r="J54" i="2"/>
  <c r="W54" i="2" s="1"/>
  <c r="G18" i="4"/>
  <c r="H36" i="4"/>
  <c r="W36" i="4" s="1"/>
  <c r="W18" i="4"/>
  <c r="Y17" i="2"/>
  <c r="E38" i="8"/>
  <c r="T38" i="8" s="1"/>
  <c r="L37" i="2"/>
  <c r="T20" i="8"/>
  <c r="Y22" i="2"/>
  <c r="E38" i="13"/>
  <c r="T38" i="13" s="1"/>
  <c r="T20" i="13"/>
  <c r="L42" i="2"/>
  <c r="G37" i="14"/>
  <c r="V37" i="14" s="1"/>
  <c r="V19" i="14"/>
  <c r="Y21" i="2"/>
  <c r="T20" i="5"/>
  <c r="L34" i="2"/>
  <c r="E38" i="5"/>
  <c r="T38" i="5" s="1"/>
  <c r="T19" i="1"/>
  <c r="E37" i="1"/>
  <c r="T37" i="1" s="1"/>
  <c r="T20" i="11"/>
  <c r="E38" i="11"/>
  <c r="T38" i="11" s="1"/>
  <c r="L40" i="2"/>
  <c r="E20" i="1"/>
  <c r="S20" i="1"/>
  <c r="D38" i="1"/>
  <c r="S38" i="1" s="1"/>
  <c r="L43" i="2"/>
  <c r="T20" i="14"/>
  <c r="E38" i="14"/>
  <c r="T38" i="14" s="1"/>
  <c r="Y14" i="2"/>
  <c r="E38" i="7"/>
  <c r="T38" i="7" s="1"/>
  <c r="L36" i="2"/>
  <c r="T20" i="7"/>
  <c r="W20" i="14"/>
  <c r="H38" i="14"/>
  <c r="W38" i="14" s="1"/>
  <c r="G20" i="14"/>
  <c r="L64" i="2"/>
  <c r="Y64" i="2" s="1"/>
  <c r="L33" i="2"/>
  <c r="E38" i="4"/>
  <c r="T38" i="4" s="1"/>
  <c r="T20" i="4"/>
  <c r="Y13" i="2"/>
  <c r="Y19" i="2"/>
  <c r="Y18" i="2"/>
  <c r="Y16" i="2"/>
  <c r="Y12" i="2"/>
  <c r="Y20" i="2"/>
  <c r="E38" i="10"/>
  <c r="T38" i="10" s="1"/>
  <c r="T20" i="10"/>
  <c r="L39" i="2"/>
  <c r="Y15" i="2"/>
  <c r="L35" i="2"/>
  <c r="T20" i="6"/>
  <c r="E38" i="6"/>
  <c r="T38" i="6" s="1"/>
  <c r="L38" i="2"/>
  <c r="E38" i="9"/>
  <c r="T38" i="9" s="1"/>
  <c r="T20" i="9"/>
  <c r="T20" i="12"/>
  <c r="E38" i="12"/>
  <c r="T38" i="12" s="1"/>
  <c r="L41" i="2"/>
  <c r="H35" i="16"/>
  <c r="W35" i="16" s="1"/>
  <c r="F17" i="16"/>
  <c r="W17" i="16"/>
  <c r="Y11" i="2"/>
  <c r="D37" i="16"/>
  <c r="S37" i="16" s="1"/>
  <c r="S19" i="16"/>
  <c r="D38" i="15"/>
  <c r="S38" i="15" s="1"/>
  <c r="D20" i="16"/>
  <c r="L8" i="2"/>
  <c r="S20" i="15"/>
  <c r="W58" i="2" l="1"/>
  <c r="K60" i="2"/>
  <c r="X60" i="2" s="1"/>
  <c r="H37" i="10"/>
  <c r="W37" i="10" s="1"/>
  <c r="G19" i="10"/>
  <c r="W19" i="10"/>
  <c r="V18" i="13"/>
  <c r="G36" i="13"/>
  <c r="V36" i="13" s="1"/>
  <c r="G19" i="8"/>
  <c r="H37" i="8"/>
  <c r="W37" i="8" s="1"/>
  <c r="K58" i="2"/>
  <c r="X58" i="2" s="1"/>
  <c r="W19" i="8"/>
  <c r="V18" i="11"/>
  <c r="G36" i="11"/>
  <c r="V36" i="11" s="1"/>
  <c r="K63" i="2"/>
  <c r="X63" i="2" s="1"/>
  <c r="G19" i="13"/>
  <c r="W19" i="13"/>
  <c r="H37" i="13"/>
  <c r="W37" i="13" s="1"/>
  <c r="F38" i="12"/>
  <c r="U38" i="12" s="1"/>
  <c r="U20" i="12"/>
  <c r="H20" i="12"/>
  <c r="W19" i="6"/>
  <c r="H37" i="6"/>
  <c r="W37" i="6" s="1"/>
  <c r="K56" i="2"/>
  <c r="X56" i="2" s="1"/>
  <c r="G19" i="6"/>
  <c r="H37" i="9"/>
  <c r="W37" i="9" s="1"/>
  <c r="W19" i="9"/>
  <c r="K59" i="2"/>
  <c r="X59" i="2" s="1"/>
  <c r="H19" i="1"/>
  <c r="G19" i="9"/>
  <c r="V18" i="12"/>
  <c r="G36" i="12"/>
  <c r="V36" i="12" s="1"/>
  <c r="F39" i="14"/>
  <c r="U39" i="14" s="1"/>
  <c r="V18" i="7"/>
  <c r="G36" i="7"/>
  <c r="V36" i="7" s="1"/>
  <c r="W19" i="12"/>
  <c r="H37" i="12"/>
  <c r="W37" i="12" s="1"/>
  <c r="K62" i="2"/>
  <c r="X62" i="2" s="1"/>
  <c r="G19" i="12"/>
  <c r="U20" i="9"/>
  <c r="F38" i="9"/>
  <c r="U38" i="9" s="1"/>
  <c r="H20" i="9"/>
  <c r="U20" i="8"/>
  <c r="F38" i="8"/>
  <c r="U38" i="8" s="1"/>
  <c r="H20" i="8"/>
  <c r="W19" i="11"/>
  <c r="G19" i="11"/>
  <c r="H37" i="11"/>
  <c r="W37" i="11" s="1"/>
  <c r="K61" i="2"/>
  <c r="X61" i="2" s="1"/>
  <c r="V18" i="9"/>
  <c r="G36" i="9"/>
  <c r="V36" i="9" s="1"/>
  <c r="W18" i="1"/>
  <c r="F18" i="1"/>
  <c r="G18" i="1"/>
  <c r="H36" i="1"/>
  <c r="W36" i="1" s="1"/>
  <c r="G36" i="8"/>
  <c r="V36" i="8" s="1"/>
  <c r="V18" i="8"/>
  <c r="F38" i="6"/>
  <c r="U38" i="6" s="1"/>
  <c r="U20" i="6"/>
  <c r="H20" i="6"/>
  <c r="F38" i="11"/>
  <c r="U38" i="11" s="1"/>
  <c r="U20" i="11"/>
  <c r="H20" i="11"/>
  <c r="U20" i="7"/>
  <c r="F38" i="7"/>
  <c r="U38" i="7" s="1"/>
  <c r="H20" i="7"/>
  <c r="U20" i="13"/>
  <c r="F38" i="13"/>
  <c r="U38" i="13" s="1"/>
  <c r="H20" i="13"/>
  <c r="G19" i="7"/>
  <c r="H37" i="7"/>
  <c r="W37" i="7" s="1"/>
  <c r="W19" i="7"/>
  <c r="K57" i="2"/>
  <c r="X57" i="2" s="1"/>
  <c r="V18" i="10"/>
  <c r="G36" i="10"/>
  <c r="V36" i="10" s="1"/>
  <c r="F38" i="10"/>
  <c r="U38" i="10" s="1"/>
  <c r="U20" i="10"/>
  <c r="H20" i="10"/>
  <c r="V18" i="6"/>
  <c r="G36" i="6"/>
  <c r="V36" i="6" s="1"/>
  <c r="K55" i="2"/>
  <c r="X55" i="2" s="1"/>
  <c r="W19" i="5"/>
  <c r="H37" i="5"/>
  <c r="W37" i="5" s="1"/>
  <c r="G19" i="5"/>
  <c r="U20" i="5"/>
  <c r="F38" i="5"/>
  <c r="U38" i="5" s="1"/>
  <c r="H20" i="5"/>
  <c r="G36" i="5"/>
  <c r="V36" i="5" s="1"/>
  <c r="V18" i="5"/>
  <c r="G36" i="4"/>
  <c r="V36" i="4" s="1"/>
  <c r="V18" i="4"/>
  <c r="G19" i="4"/>
  <c r="H37" i="4"/>
  <c r="W37" i="4" s="1"/>
  <c r="K54" i="2"/>
  <c r="X54" i="2" s="1"/>
  <c r="W19" i="4"/>
  <c r="U20" i="4"/>
  <c r="F38" i="4"/>
  <c r="U38" i="4" s="1"/>
  <c r="H20" i="4"/>
  <c r="E21" i="5"/>
  <c r="T21" i="5" s="1"/>
  <c r="M13" i="2"/>
  <c r="Z13" i="2" s="1"/>
  <c r="D39" i="5"/>
  <c r="S39" i="5" s="1"/>
  <c r="E21" i="7"/>
  <c r="T21" i="7" s="1"/>
  <c r="M15" i="2"/>
  <c r="Z15" i="2" s="1"/>
  <c r="D39" i="7"/>
  <c r="S39" i="7" s="1"/>
  <c r="E21" i="10"/>
  <c r="T21" i="10" s="1"/>
  <c r="M18" i="2"/>
  <c r="Z18" i="2" s="1"/>
  <c r="D39" i="10"/>
  <c r="S39" i="10" s="1"/>
  <c r="D39" i="12"/>
  <c r="S39" i="12" s="1"/>
  <c r="M20" i="2"/>
  <c r="Z20" i="2" s="1"/>
  <c r="E21" i="12"/>
  <c r="T21" i="12" s="1"/>
  <c r="Y36" i="2"/>
  <c r="M16" i="2"/>
  <c r="Z16" i="2" s="1"/>
  <c r="D39" i="8"/>
  <c r="S39" i="8" s="1"/>
  <c r="E21" i="8"/>
  <c r="T21" i="8" s="1"/>
  <c r="Y42" i="2"/>
  <c r="V20" i="14"/>
  <c r="G38" i="14"/>
  <c r="V38" i="14" s="1"/>
  <c r="M12" i="2"/>
  <c r="Z12" i="2" s="1"/>
  <c r="E21" i="4"/>
  <c r="T21" i="4" s="1"/>
  <c r="D39" i="4"/>
  <c r="S39" i="4" s="1"/>
  <c r="Y41" i="2"/>
  <c r="E38" i="1"/>
  <c r="T38" i="1" s="1"/>
  <c r="T20" i="1"/>
  <c r="Y38" i="2"/>
  <c r="Y33" i="2"/>
  <c r="Y40" i="2"/>
  <c r="Y37" i="2"/>
  <c r="Y35" i="2"/>
  <c r="D39" i="11"/>
  <c r="S39" i="11" s="1"/>
  <c r="M19" i="2"/>
  <c r="Z19" i="2" s="1"/>
  <c r="E21" i="11"/>
  <c r="T21" i="11" s="1"/>
  <c r="M22" i="2"/>
  <c r="Z22" i="2" s="1"/>
  <c r="D39" i="14"/>
  <c r="S39" i="14" s="1"/>
  <c r="E21" i="14"/>
  <c r="T21" i="14" s="1"/>
  <c r="E21" i="6"/>
  <c r="T21" i="6" s="1"/>
  <c r="M14" i="2"/>
  <c r="Z14" i="2" s="1"/>
  <c r="D39" i="6"/>
  <c r="S39" i="6" s="1"/>
  <c r="M17" i="2"/>
  <c r="D21" i="1"/>
  <c r="E21" i="9"/>
  <c r="T21" i="9" s="1"/>
  <c r="D39" i="9"/>
  <c r="S39" i="9" s="1"/>
  <c r="M21" i="2"/>
  <c r="Z21" i="2" s="1"/>
  <c r="E21" i="13"/>
  <c r="T21" i="13" s="1"/>
  <c r="D39" i="13"/>
  <c r="S39" i="13" s="1"/>
  <c r="Y34" i="2"/>
  <c r="Y39" i="2"/>
  <c r="Y43" i="2"/>
  <c r="M8" i="2"/>
  <c r="Z8" i="2" s="1"/>
  <c r="D39" i="15"/>
  <c r="S39" i="15" s="1"/>
  <c r="S20" i="16"/>
  <c r="D38" i="16"/>
  <c r="S38" i="16" s="1"/>
  <c r="Y8" i="2"/>
  <c r="F35" i="16"/>
  <c r="U35" i="16" s="1"/>
  <c r="U17" i="16"/>
  <c r="M11" i="2"/>
  <c r="D39" i="3"/>
  <c r="S39" i="3" s="1"/>
  <c r="F39" i="13"/>
  <c r="U39" i="13" s="1"/>
  <c r="F39" i="9"/>
  <c r="U39" i="9" s="1"/>
  <c r="F39" i="10"/>
  <c r="U39" i="10" s="1"/>
  <c r="F39" i="8"/>
  <c r="U39" i="8" s="1"/>
  <c r="F39" i="12"/>
  <c r="U39" i="12" s="1"/>
  <c r="F39" i="6"/>
  <c r="U39" i="6" s="1"/>
  <c r="F39" i="5"/>
  <c r="U39" i="5" s="1"/>
  <c r="F39" i="7"/>
  <c r="U39" i="7" s="1"/>
  <c r="F39" i="11"/>
  <c r="U39" i="11" s="1"/>
  <c r="F39" i="4"/>
  <c r="U39" i="4" s="1"/>
  <c r="Z17" i="2" l="1"/>
  <c r="M9" i="2"/>
  <c r="Z11" i="2"/>
  <c r="M10" i="2"/>
  <c r="D21" i="16"/>
  <c r="S21" i="1"/>
  <c r="H21" i="9"/>
  <c r="W21" i="9" s="1"/>
  <c r="H21" i="14"/>
  <c r="W21" i="14" s="1"/>
  <c r="H21" i="4"/>
  <c r="W21" i="4" s="1"/>
  <c r="H21" i="11"/>
  <c r="H21" i="6"/>
  <c r="G37" i="13"/>
  <c r="V37" i="13" s="1"/>
  <c r="V19" i="13"/>
  <c r="G36" i="1"/>
  <c r="V36" i="1" s="1"/>
  <c r="V18" i="1"/>
  <c r="H21" i="10"/>
  <c r="L62" i="2"/>
  <c r="Y62" i="2" s="1"/>
  <c r="G20" i="12"/>
  <c r="W20" i="12"/>
  <c r="H38" i="12"/>
  <c r="W38" i="12" s="1"/>
  <c r="L56" i="2"/>
  <c r="Y56" i="2" s="1"/>
  <c r="H38" i="6"/>
  <c r="W38" i="6" s="1"/>
  <c r="G20" i="6"/>
  <c r="W20" i="6"/>
  <c r="G20" i="10"/>
  <c r="L60" i="2"/>
  <c r="Y60" i="2" s="1"/>
  <c r="W20" i="10"/>
  <c r="H38" i="10"/>
  <c r="W38" i="10" s="1"/>
  <c r="V19" i="12"/>
  <c r="G37" i="12"/>
  <c r="V37" i="12" s="1"/>
  <c r="G37" i="9"/>
  <c r="V37" i="9" s="1"/>
  <c r="V19" i="9"/>
  <c r="H37" i="1"/>
  <c r="W37" i="1" s="1"/>
  <c r="G19" i="1"/>
  <c r="W19" i="1"/>
  <c r="F19" i="1"/>
  <c r="V19" i="8"/>
  <c r="G37" i="8"/>
  <c r="V37" i="8" s="1"/>
  <c r="H21" i="7"/>
  <c r="W20" i="7"/>
  <c r="H38" i="7"/>
  <c r="W38" i="7" s="1"/>
  <c r="L57" i="2"/>
  <c r="Y57" i="2" s="1"/>
  <c r="G20" i="7"/>
  <c r="V19" i="11"/>
  <c r="G37" i="11"/>
  <c r="V37" i="11" s="1"/>
  <c r="F36" i="1"/>
  <c r="U36" i="1" s="1"/>
  <c r="U18" i="1"/>
  <c r="W20" i="13"/>
  <c r="G20" i="13"/>
  <c r="L63" i="2"/>
  <c r="Y63" i="2" s="1"/>
  <c r="H38" i="13"/>
  <c r="W38" i="13" s="1"/>
  <c r="H38" i="8"/>
  <c r="W38" i="8" s="1"/>
  <c r="L58" i="2"/>
  <c r="G20" i="8"/>
  <c r="W20" i="8"/>
  <c r="H21" i="13"/>
  <c r="G37" i="6"/>
  <c r="V37" i="6" s="1"/>
  <c r="V19" i="6"/>
  <c r="V19" i="10"/>
  <c r="G37" i="10"/>
  <c r="V37" i="10" s="1"/>
  <c r="G20" i="11"/>
  <c r="W20" i="11"/>
  <c r="H38" i="11"/>
  <c r="W38" i="11" s="1"/>
  <c r="L61" i="2"/>
  <c r="Y61" i="2" s="1"/>
  <c r="G37" i="7"/>
  <c r="V37" i="7" s="1"/>
  <c r="V19" i="7"/>
  <c r="H21" i="8"/>
  <c r="H21" i="12"/>
  <c r="W20" i="9"/>
  <c r="L59" i="2"/>
  <c r="Y59" i="2" s="1"/>
  <c r="H38" i="9"/>
  <c r="W38" i="9" s="1"/>
  <c r="G20" i="9"/>
  <c r="H20" i="1"/>
  <c r="L55" i="2"/>
  <c r="Y55" i="2" s="1"/>
  <c r="W20" i="5"/>
  <c r="G20" i="5"/>
  <c r="H38" i="5"/>
  <c r="W38" i="5" s="1"/>
  <c r="V19" i="5"/>
  <c r="G37" i="5"/>
  <c r="V37" i="5" s="1"/>
  <c r="H21" i="5"/>
  <c r="V19" i="4"/>
  <c r="G37" i="4"/>
  <c r="V37" i="4" s="1"/>
  <c r="W20" i="4"/>
  <c r="G20" i="4"/>
  <c r="H38" i="4"/>
  <c r="W38" i="4" s="1"/>
  <c r="L54" i="2"/>
  <c r="Y54" i="2" s="1"/>
  <c r="M35" i="2"/>
  <c r="Z35" i="2" s="1"/>
  <c r="E39" i="6"/>
  <c r="T39" i="6" s="1"/>
  <c r="M43" i="2"/>
  <c r="Z43" i="2" s="1"/>
  <c r="E39" i="14"/>
  <c r="T39" i="14" s="1"/>
  <c r="M54" i="2"/>
  <c r="G21" i="4"/>
  <c r="V21" i="4" s="1"/>
  <c r="H39" i="4"/>
  <c r="W39" i="4" s="1"/>
  <c r="E21" i="1"/>
  <c r="D39" i="1"/>
  <c r="S39" i="1" s="1"/>
  <c r="M33" i="2"/>
  <c r="Z33" i="2" s="1"/>
  <c r="E39" i="4"/>
  <c r="T39" i="4" s="1"/>
  <c r="M41" i="2"/>
  <c r="Z41" i="2" s="1"/>
  <c r="E39" i="12"/>
  <c r="T39" i="12" s="1"/>
  <c r="G21" i="14"/>
  <c r="M64" i="2"/>
  <c r="Z64" i="2" s="1"/>
  <c r="H39" i="14"/>
  <c r="W39" i="14" s="1"/>
  <c r="M40" i="2"/>
  <c r="Z40" i="2" s="1"/>
  <c r="E39" i="11"/>
  <c r="T39" i="11" s="1"/>
  <c r="M34" i="2"/>
  <c r="Z34" i="2" s="1"/>
  <c r="E39" i="5"/>
  <c r="T39" i="5" s="1"/>
  <c r="M59" i="2"/>
  <c r="G21" i="9"/>
  <c r="V21" i="9" s="1"/>
  <c r="H39" i="9"/>
  <c r="W39" i="9" s="1"/>
  <c r="M39" i="2"/>
  <c r="Z39" i="2" s="1"/>
  <c r="E39" i="10"/>
  <c r="T39" i="10" s="1"/>
  <c r="M38" i="2"/>
  <c r="Z38" i="2" s="1"/>
  <c r="E39" i="9"/>
  <c r="T39" i="9" s="1"/>
  <c r="M42" i="2"/>
  <c r="Z42" i="2" s="1"/>
  <c r="E39" i="13"/>
  <c r="T39" i="13" s="1"/>
  <c r="M37" i="2"/>
  <c r="Z37" i="2" s="1"/>
  <c r="E39" i="8"/>
  <c r="T39" i="8" s="1"/>
  <c r="M36" i="2"/>
  <c r="Z36" i="2" s="1"/>
  <c r="E39" i="7"/>
  <c r="T39" i="7" s="1"/>
  <c r="Y58" i="2" l="1"/>
  <c r="M56" i="2"/>
  <c r="W21" i="6"/>
  <c r="G39" i="14"/>
  <c r="V39" i="14" s="1"/>
  <c r="V21" i="14"/>
  <c r="M60" i="2"/>
  <c r="Z60" i="2" s="1"/>
  <c r="W21" i="10"/>
  <c r="M61" i="2"/>
  <c r="Z61" i="2" s="1"/>
  <c r="W21" i="11"/>
  <c r="M62" i="2"/>
  <c r="Z62" i="2" s="1"/>
  <c r="W21" i="12"/>
  <c r="M58" i="2"/>
  <c r="Z58" i="2" s="1"/>
  <c r="W21" i="8"/>
  <c r="G21" i="5"/>
  <c r="V21" i="5" s="1"/>
  <c r="W21" i="5"/>
  <c r="E39" i="1"/>
  <c r="T39" i="1" s="1"/>
  <c r="T21" i="1"/>
  <c r="G21" i="7"/>
  <c r="V21" i="7" s="1"/>
  <c r="W21" i="7"/>
  <c r="M63" i="2"/>
  <c r="Z63" i="2" s="1"/>
  <c r="W21" i="13"/>
  <c r="D39" i="16"/>
  <c r="S39" i="16" s="1"/>
  <c r="S21" i="16"/>
  <c r="G21" i="11"/>
  <c r="V21" i="11" s="1"/>
  <c r="H39" i="11"/>
  <c r="W39" i="11" s="1"/>
  <c r="H39" i="6"/>
  <c r="W39" i="6" s="1"/>
  <c r="G21" i="6"/>
  <c r="V21" i="6" s="1"/>
  <c r="G39" i="9"/>
  <c r="V39" i="9" s="1"/>
  <c r="Z56" i="2"/>
  <c r="G39" i="6"/>
  <c r="V39" i="6" s="1"/>
  <c r="H39" i="10"/>
  <c r="W39" i="10" s="1"/>
  <c r="G21" i="10"/>
  <c r="H21" i="1"/>
  <c r="H39" i="5"/>
  <c r="W39" i="5" s="1"/>
  <c r="M55" i="2"/>
  <c r="Z55" i="2" s="1"/>
  <c r="H39" i="7"/>
  <c r="W39" i="7" s="1"/>
  <c r="M57" i="2"/>
  <c r="Z57" i="2" s="1"/>
  <c r="H39" i="8"/>
  <c r="W39" i="8" s="1"/>
  <c r="G21" i="8"/>
  <c r="Z59" i="2"/>
  <c r="G21" i="12"/>
  <c r="Z54" i="2"/>
  <c r="G39" i="4"/>
  <c r="V39" i="4" s="1"/>
  <c r="V20" i="10"/>
  <c r="G38" i="10"/>
  <c r="V38" i="10" s="1"/>
  <c r="V20" i="13"/>
  <c r="G38" i="13"/>
  <c r="V38" i="13" s="1"/>
  <c r="V20" i="6"/>
  <c r="G38" i="6"/>
  <c r="V38" i="6" s="1"/>
  <c r="H39" i="13"/>
  <c r="W39" i="13" s="1"/>
  <c r="G21" i="13"/>
  <c r="H38" i="1"/>
  <c r="W38" i="1" s="1"/>
  <c r="G20" i="1"/>
  <c r="W20" i="1"/>
  <c r="F20" i="1"/>
  <c r="V20" i="7"/>
  <c r="G38" i="7"/>
  <c r="V38" i="7" s="1"/>
  <c r="V20" i="12"/>
  <c r="G38" i="12"/>
  <c r="V38" i="12" s="1"/>
  <c r="F37" i="1"/>
  <c r="U37" i="1" s="1"/>
  <c r="U19" i="1"/>
  <c r="H39" i="12"/>
  <c r="W39" i="12" s="1"/>
  <c r="V20" i="9"/>
  <c r="G38" i="9"/>
  <c r="V38" i="9" s="1"/>
  <c r="V20" i="11"/>
  <c r="G38" i="11"/>
  <c r="V38" i="11" s="1"/>
  <c r="V20" i="8"/>
  <c r="G38" i="8"/>
  <c r="V38" i="8" s="1"/>
  <c r="V19" i="1"/>
  <c r="G37" i="1"/>
  <c r="V37" i="1" s="1"/>
  <c r="G39" i="11"/>
  <c r="V39" i="11" s="1"/>
  <c r="V20" i="5"/>
  <c r="G38" i="5"/>
  <c r="V38" i="5" s="1"/>
  <c r="G38" i="4"/>
  <c r="V38" i="4" s="1"/>
  <c r="V20" i="4"/>
  <c r="G39" i="5" l="1"/>
  <c r="V39" i="5" s="1"/>
  <c r="H39" i="1"/>
  <c r="W39" i="1" s="1"/>
  <c r="W21" i="1"/>
  <c r="G39" i="10"/>
  <c r="V39" i="10" s="1"/>
  <c r="V21" i="10"/>
  <c r="G39" i="12"/>
  <c r="V39" i="12" s="1"/>
  <c r="V21" i="12"/>
  <c r="G39" i="13"/>
  <c r="V39" i="13" s="1"/>
  <c r="V21" i="13"/>
  <c r="G39" i="7"/>
  <c r="V39" i="7" s="1"/>
  <c r="G39" i="8"/>
  <c r="V39" i="8" s="1"/>
  <c r="V21" i="8"/>
  <c r="F21" i="1"/>
  <c r="G21" i="1"/>
  <c r="V20" i="1"/>
  <c r="G38" i="1"/>
  <c r="V38" i="1" s="1"/>
  <c r="F38" i="1"/>
  <c r="U38" i="1" s="1"/>
  <c r="U20" i="1"/>
  <c r="F39" i="1" l="1"/>
  <c r="U39" i="1" s="1"/>
  <c r="U21" i="1"/>
  <c r="G39" i="1"/>
  <c r="V39" i="1" s="1"/>
  <c r="V21" i="1"/>
  <c r="F36" i="3"/>
  <c r="U36" i="3" s="1"/>
  <c r="U18" i="3"/>
  <c r="H18" i="3"/>
  <c r="F37" i="3" l="1"/>
  <c r="U37" i="3" s="1"/>
  <c r="U19" i="3"/>
  <c r="H19" i="3"/>
  <c r="H36" i="3"/>
  <c r="W36" i="3" s="1"/>
  <c r="J53" i="2"/>
  <c r="W18" i="3"/>
  <c r="W53" i="2" l="1"/>
  <c r="U20" i="3"/>
  <c r="F38" i="3"/>
  <c r="U38" i="3" s="1"/>
  <c r="H20" i="3"/>
  <c r="K53" i="2"/>
  <c r="X53" i="2" s="1"/>
  <c r="H37" i="3"/>
  <c r="W37" i="3" s="1"/>
  <c r="W19" i="3"/>
  <c r="F39" i="3" l="1"/>
  <c r="U39" i="3" s="1"/>
  <c r="H21" i="3"/>
  <c r="W21" i="3" s="1"/>
  <c r="H38" i="3"/>
  <c r="W38" i="3" s="1"/>
  <c r="W20" i="3"/>
  <c r="L53" i="2"/>
  <c r="F36" i="15"/>
  <c r="U36" i="15" s="1"/>
  <c r="U18" i="15"/>
  <c r="H18" i="15"/>
  <c r="Y53" i="2" l="1"/>
  <c r="M53" i="2"/>
  <c r="Z53" i="2" s="1"/>
  <c r="H39" i="3"/>
  <c r="W39" i="3" s="1"/>
  <c r="U19" i="15"/>
  <c r="F37" i="15"/>
  <c r="U37" i="15" s="1"/>
  <c r="H19" i="15"/>
  <c r="H18" i="16"/>
  <c r="W18" i="15"/>
  <c r="H36" i="15"/>
  <c r="W36" i="15" s="1"/>
  <c r="J50" i="2"/>
  <c r="W50" i="2" s="1"/>
  <c r="K50" i="2" l="1"/>
  <c r="X50" i="2" s="1"/>
  <c r="H37" i="15"/>
  <c r="W37" i="15" s="1"/>
  <c r="W19" i="15"/>
  <c r="H19" i="16"/>
  <c r="U20" i="15"/>
  <c r="F38" i="15"/>
  <c r="U38" i="15" s="1"/>
  <c r="H20" i="15"/>
  <c r="W18" i="16"/>
  <c r="F18" i="16"/>
  <c r="H36" i="16"/>
  <c r="W36" i="16" s="1"/>
  <c r="F36" i="16" l="1"/>
  <c r="U36" i="16" s="1"/>
  <c r="U18" i="16"/>
  <c r="F19" i="16"/>
  <c r="H37" i="16"/>
  <c r="W37" i="16" s="1"/>
  <c r="W19" i="16"/>
  <c r="H38" i="15"/>
  <c r="W38" i="15" s="1"/>
  <c r="W20" i="15"/>
  <c r="H20" i="16"/>
  <c r="L50" i="2"/>
  <c r="F39" i="15"/>
  <c r="U39" i="15" s="1"/>
  <c r="H21" i="15"/>
  <c r="W21" i="15" s="1"/>
  <c r="H21" i="16" l="1"/>
  <c r="M50" i="2"/>
  <c r="Z50" i="2" s="1"/>
  <c r="H39" i="15"/>
  <c r="W39" i="15" s="1"/>
  <c r="F37" i="16"/>
  <c r="U37" i="16" s="1"/>
  <c r="U19" i="16"/>
  <c r="Y50" i="2"/>
  <c r="W20" i="16"/>
  <c r="H38" i="16"/>
  <c r="W38" i="16" s="1"/>
  <c r="F20" i="16"/>
  <c r="H39" i="16" l="1"/>
  <c r="W39" i="16" s="1"/>
  <c r="W21" i="16"/>
  <c r="U20" i="16"/>
  <c r="F38" i="16"/>
  <c r="U38" i="16" s="1"/>
  <c r="F21" i="16"/>
  <c r="F39" i="16" l="1"/>
  <c r="U39" i="16" s="1"/>
  <c r="U21" i="16"/>
  <c r="R18" i="3"/>
  <c r="C36" i="3"/>
  <c r="R36" i="3" s="1"/>
  <c r="E18" i="3"/>
  <c r="G18" i="3"/>
  <c r="R19" i="3"/>
  <c r="C37" i="3"/>
  <c r="R37" i="3" s="1"/>
  <c r="E19" i="3"/>
  <c r="G19" i="3"/>
  <c r="G37" i="3" l="1"/>
  <c r="V37" i="3" s="1"/>
  <c r="V19" i="3"/>
  <c r="C18" i="16"/>
  <c r="R18" i="15"/>
  <c r="E18" i="15"/>
  <c r="G18" i="15"/>
  <c r="E37" i="3"/>
  <c r="T37" i="3" s="1"/>
  <c r="T19" i="3"/>
  <c r="K32" i="2"/>
  <c r="G36" i="3"/>
  <c r="V36" i="3" s="1"/>
  <c r="V18" i="3"/>
  <c r="R19" i="15"/>
  <c r="C19" i="16"/>
  <c r="C37" i="15"/>
  <c r="R37" i="15" s="1"/>
  <c r="E19" i="15"/>
  <c r="G19" i="15"/>
  <c r="E36" i="3"/>
  <c r="T36" i="3" s="1"/>
  <c r="T18" i="3"/>
  <c r="J32" i="2"/>
  <c r="W32" i="2" s="1"/>
  <c r="G17" i="15"/>
  <c r="R20" i="3"/>
  <c r="C38" i="3"/>
  <c r="R38" i="3" s="1"/>
  <c r="E20" i="3"/>
  <c r="G20" i="3"/>
  <c r="X32" i="2" l="1"/>
  <c r="T18" i="15"/>
  <c r="J29" i="2"/>
  <c r="V19" i="15"/>
  <c r="G37" i="15"/>
  <c r="V37" i="15" s="1"/>
  <c r="V18" i="15"/>
  <c r="E37" i="15"/>
  <c r="T37" i="15" s="1"/>
  <c r="T19" i="15"/>
  <c r="K29" i="2"/>
  <c r="X29" i="2" s="1"/>
  <c r="R19" i="16"/>
  <c r="C37" i="16"/>
  <c r="R37" i="16" s="1"/>
  <c r="E19" i="16"/>
  <c r="G19" i="16"/>
  <c r="R18" i="16"/>
  <c r="E18" i="16"/>
  <c r="T18" i="16" s="1"/>
  <c r="G18" i="16"/>
  <c r="V18" i="16" s="1"/>
  <c r="C17" i="16"/>
  <c r="R17" i="15"/>
  <c r="C36" i="15"/>
  <c r="R36" i="15" s="1"/>
  <c r="C35" i="15"/>
  <c r="R35" i="15" s="1"/>
  <c r="E17" i="15"/>
  <c r="E38" i="3"/>
  <c r="T38" i="3" s="1"/>
  <c r="L32" i="2"/>
  <c r="Y32" i="2" s="1"/>
  <c r="T20" i="3"/>
  <c r="R20" i="15"/>
  <c r="C20" i="16"/>
  <c r="C38" i="15"/>
  <c r="R38" i="15" s="1"/>
  <c r="E20" i="15"/>
  <c r="G20" i="15"/>
  <c r="C39" i="3"/>
  <c r="R39" i="3" s="1"/>
  <c r="E21" i="3"/>
  <c r="T21" i="3" s="1"/>
  <c r="G21" i="3"/>
  <c r="V20" i="3"/>
  <c r="G38" i="3"/>
  <c r="V38" i="3" s="1"/>
  <c r="G39" i="3" l="1"/>
  <c r="V39" i="3" s="1"/>
  <c r="V21" i="3"/>
  <c r="V19" i="16"/>
  <c r="G37" i="16"/>
  <c r="V37" i="16" s="1"/>
  <c r="T19" i="16"/>
  <c r="E37" i="16"/>
  <c r="T37" i="16" s="1"/>
  <c r="G35" i="15"/>
  <c r="V35" i="15" s="1"/>
  <c r="V17" i="15"/>
  <c r="G36" i="15"/>
  <c r="V36" i="15" s="1"/>
  <c r="E35" i="15"/>
  <c r="T35" i="15" s="1"/>
  <c r="I29" i="2"/>
  <c r="T17" i="15"/>
  <c r="E36" i="15"/>
  <c r="T36" i="15" s="1"/>
  <c r="R17" i="16"/>
  <c r="C36" i="16"/>
  <c r="R36" i="16" s="1"/>
  <c r="C35" i="16"/>
  <c r="R35" i="16" s="1"/>
  <c r="E17" i="16"/>
  <c r="G17" i="16"/>
  <c r="E39" i="3"/>
  <c r="T39" i="3" s="1"/>
  <c r="M32" i="2"/>
  <c r="Z32" i="2" s="1"/>
  <c r="T20" i="15"/>
  <c r="E38" i="15"/>
  <c r="T38" i="15" s="1"/>
  <c r="L29" i="2"/>
  <c r="Y29" i="2" s="1"/>
  <c r="G38" i="15"/>
  <c r="V38" i="15" s="1"/>
  <c r="V20" i="15"/>
  <c r="C39" i="15"/>
  <c r="R39" i="15" s="1"/>
  <c r="C21" i="16"/>
  <c r="E21" i="15"/>
  <c r="T21" i="15" s="1"/>
  <c r="G21" i="15"/>
  <c r="R20" i="16"/>
  <c r="C38" i="16"/>
  <c r="R38" i="16" s="1"/>
  <c r="E20" i="16"/>
  <c r="G20" i="16"/>
  <c r="C39" i="16" l="1"/>
  <c r="R39" i="16" s="1"/>
  <c r="R21" i="16"/>
  <c r="G39" i="15"/>
  <c r="V39" i="15" s="1"/>
  <c r="V21" i="15"/>
  <c r="E36" i="16"/>
  <c r="T36" i="16" s="1"/>
  <c r="E35" i="16"/>
  <c r="T35" i="16" s="1"/>
  <c r="T17" i="16"/>
  <c r="V17" i="16"/>
  <c r="G35" i="16"/>
  <c r="V35" i="16" s="1"/>
  <c r="G36" i="16"/>
  <c r="V36" i="16" s="1"/>
  <c r="V29" i="2"/>
  <c r="W29" i="2"/>
  <c r="E21" i="16"/>
  <c r="G21" i="16"/>
  <c r="V20" i="16"/>
  <c r="G38" i="16"/>
  <c r="V38" i="16" s="1"/>
  <c r="E38" i="16"/>
  <c r="T38" i="16" s="1"/>
  <c r="T20" i="16"/>
  <c r="M29" i="2"/>
  <c r="Z29" i="2" s="1"/>
  <c r="E39" i="15"/>
  <c r="T39" i="15" s="1"/>
  <c r="E39" i="16" l="1"/>
  <c r="T39" i="16" s="1"/>
  <c r="T21" i="16"/>
  <c r="G39" i="16"/>
  <c r="V39" i="16" s="1"/>
  <c r="V21" i="16"/>
</calcChain>
</file>

<file path=xl/sharedStrings.xml><?xml version="1.0" encoding="utf-8"?>
<sst xmlns="http://schemas.openxmlformats.org/spreadsheetml/2006/main" count="496" uniqueCount="44">
  <si>
    <t>Forecast summary: Annual</t>
  </si>
  <si>
    <t>Room demand</t>
  </si>
  <si>
    <t>Levels</t>
  </si>
  <si>
    <t>Growth</t>
  </si>
  <si>
    <t>Central Coast</t>
  </si>
  <si>
    <t>Central Valley</t>
  </si>
  <si>
    <t>Deserts</t>
  </si>
  <si>
    <t>Gold Country</t>
  </si>
  <si>
    <t>High Sierra</t>
  </si>
  <si>
    <t>Inland Empire</t>
  </si>
  <si>
    <t>Los Angeles County</t>
  </si>
  <si>
    <t>North Coast</t>
  </si>
  <si>
    <t>Orange County</t>
  </si>
  <si>
    <t>Shasta Cascade</t>
  </si>
  <si>
    <t>San Diego County</t>
  </si>
  <si>
    <t>San Francisco Bay Area</t>
  </si>
  <si>
    <t>California</t>
  </si>
  <si>
    <t>Occupancy</t>
  </si>
  <si>
    <t>Room revenue</t>
  </si>
  <si>
    <t>Prior forecast</t>
  </si>
  <si>
    <t>ADR</t>
  </si>
  <si>
    <t>RevPAR</t>
  </si>
  <si>
    <t>*Gateway Regions: Los Angeles, Orange County, San Diego, San Francisco Bay Area</t>
  </si>
  <si>
    <t>Daily levels</t>
  </si>
  <si>
    <t>Hotel supply (daily)</t>
  </si>
  <si>
    <t>Hotel room demand (daily)</t>
  </si>
  <si>
    <t>Current compared to prior (difference)</t>
  </si>
  <si>
    <t>*Other Regions: Central Coast, Central Valley, Deserts, Gold Country, High Sierra, Inland Empire, North Coast, Shasta Cascade</t>
  </si>
  <si>
    <t>Forecast summary: Annual, Central Coast</t>
  </si>
  <si>
    <t>Forecast summary: Annual, Central Valley</t>
  </si>
  <si>
    <t>Forecast summary: Annual, Deserts</t>
  </si>
  <si>
    <t>Forecast summary: Annual, Gold Country</t>
  </si>
  <si>
    <t>Forecast summary: Annual, High Sierra</t>
  </si>
  <si>
    <t>Forecast summary: Annual, Inland Empire</t>
  </si>
  <si>
    <t>Forecast summary: Annual, Los Angeles County</t>
  </si>
  <si>
    <t>Forecast summary: Annual, North Coast</t>
  </si>
  <si>
    <t>Forecast summary: Annual, Orange County</t>
  </si>
  <si>
    <t>Forecast summary: Annual, Shasta Cascade</t>
  </si>
  <si>
    <t>Forecast summary: Annual, San Diego County</t>
  </si>
  <si>
    <t>Forecast summary: Annual, San Francisco Bay Area</t>
  </si>
  <si>
    <t>Forecast summary: Annual, CALIFORNIA</t>
  </si>
  <si>
    <t>Source: CoStar; Tourism Economics</t>
  </si>
  <si>
    <t>Gateway Regions*</t>
  </si>
  <si>
    <t>All Other Regions**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</si>
</sst>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"/>
    <numFmt numFmtId="166" formatCode="&quot;$&quot;#,##0.00"/>
  </numFmts>
  <fonts count="11" x14ac:knownFonts="1">
    <font>
      <sz val="10"/>
      <color theme="1"/>
      <name val="Lato"/>
      <family val="2"/>
    </font>
    <font>
      <sz val="10"/>
      <color theme="1"/>
      <name val="Lato"/>
      <family val="2"/>
    </font>
    <font>
      <sz val="11"/>
      <color theme="1"/>
      <name val="Calibri"/>
      <family val="2"/>
      <scheme val="minor"/>
    </font>
    <font>
      <b/>
      <sz val="12"/>
      <color theme="1"/>
      <name val="Roboto"/>
    </font>
    <font>
      <b/>
      <sz val="8"/>
      <color theme="1"/>
      <name val="Roboto"/>
    </font>
    <font>
      <sz val="8"/>
      <color theme="1"/>
      <name val="Roboto"/>
    </font>
    <font>
      <sz val="7"/>
      <color theme="1"/>
      <name val="Lato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69">
    <xf numFmtId="0" fontId="0" fillId="0" borderId="0" xfId="0"/>
    <xf numFmtId="0" fontId="5" fillId="0" borderId="0" xfId="2" applyFont="1"/>
    <xf numFmtId="164" fontId="5" fillId="0" borderId="0" xfId="3" applyNumberFormat="1" applyFont="1"/>
    <xf numFmtId="9" fontId="5" fillId="0" borderId="0" xfId="3" applyFont="1"/>
    <xf numFmtId="0" fontId="3" fillId="2" borderId="0" xfId="2" applyFont="1" applyFill="1"/>
    <xf numFmtId="0" fontId="4" fillId="2" borderId="0" xfId="2" applyFont="1" applyFill="1"/>
    <xf numFmtId="0" fontId="5" fillId="2" borderId="0" xfId="2" applyFont="1" applyFill="1"/>
    <xf numFmtId="0" fontId="5" fillId="2" borderId="0" xfId="2" applyFont="1" applyFill="1" applyAlignment="1">
      <alignment wrapText="1"/>
    </xf>
    <xf numFmtId="0" fontId="4" fillId="2" borderId="1" xfId="2" applyFont="1" applyFill="1" applyBorder="1" applyAlignment="1">
      <alignment horizontal="right" wrapText="1"/>
    </xf>
    <xf numFmtId="0" fontId="4" fillId="2" borderId="0" xfId="2" applyFont="1" applyFill="1" applyAlignment="1">
      <alignment wrapText="1"/>
    </xf>
    <xf numFmtId="0" fontId="5" fillId="2" borderId="0" xfId="2" applyFont="1" applyFill="1" applyAlignment="1">
      <alignment horizontal="right" wrapText="1"/>
    </xf>
    <xf numFmtId="1" fontId="5" fillId="2" borderId="0" xfId="2" applyNumberFormat="1" applyFont="1" applyFill="1"/>
    <xf numFmtId="3" fontId="5" fillId="2" borderId="0" xfId="2" applyNumberFormat="1" applyFont="1" applyFill="1"/>
    <xf numFmtId="164" fontId="5" fillId="2" borderId="0" xfId="3" applyNumberFormat="1" applyFont="1" applyFill="1"/>
    <xf numFmtId="166" fontId="5" fillId="2" borderId="0" xfId="2" applyNumberFormat="1" applyFont="1" applyFill="1"/>
    <xf numFmtId="165" fontId="5" fillId="2" borderId="0" xfId="2" applyNumberFormat="1" applyFont="1" applyFill="1"/>
    <xf numFmtId="0" fontId="4" fillId="2" borderId="1" xfId="2" applyFont="1" applyFill="1" applyBorder="1"/>
    <xf numFmtId="164" fontId="5" fillId="2" borderId="1" xfId="3" applyNumberFormat="1" applyFont="1" applyFill="1" applyBorder="1"/>
    <xf numFmtId="0" fontId="4" fillId="2" borderId="0" xfId="2" applyFont="1" applyFill="1" applyAlignment="1">
      <alignment horizontal="right" wrapText="1"/>
    </xf>
    <xf numFmtId="0" fontId="6" fillId="2" borderId="0" xfId="2" applyFont="1" applyFill="1"/>
    <xf numFmtId="10" fontId="5" fillId="2" borderId="0" xfId="2" applyNumberFormat="1" applyFont="1" applyFill="1"/>
    <xf numFmtId="164" fontId="6" fillId="2" borderId="0" xfId="3" applyNumberFormat="1" applyFont="1" applyFill="1"/>
    <xf numFmtId="164" fontId="5" fillId="2" borderId="0" xfId="2" applyNumberFormat="1" applyFont="1" applyFill="1"/>
    <xf numFmtId="164" fontId="5" fillId="2" borderId="0" xfId="1" applyNumberFormat="1" applyFont="1" applyFill="1"/>
    <xf numFmtId="2" fontId="5" fillId="2" borderId="0" xfId="3" applyNumberFormat="1" applyFont="1" applyFill="1"/>
    <xf numFmtId="1" fontId="5" fillId="2" borderId="0" xfId="3" applyNumberFormat="1" applyFont="1" applyFill="1"/>
    <xf numFmtId="166" fontId="5" fillId="2" borderId="0" xfId="3" applyNumberFormat="1" applyFont="1" applyFill="1"/>
    <xf numFmtId="165" fontId="5" fillId="2" borderId="0" xfId="3" applyNumberFormat="1" applyFont="1" applyFill="1"/>
    <xf numFmtId="0" fontId="4" fillId="3" borderId="0" xfId="2" applyFont="1" applyFill="1" applyAlignment="1">
      <alignment horizontal="centerContinuous" vertical="center"/>
    </xf>
    <xf numFmtId="0" fontId="5" fillId="2" borderId="0" xfId="2" applyFont="1" applyFill="1" applyAlignment="1">
      <alignment vertical="center"/>
    </xf>
    <xf numFmtId="3" fontId="7" fillId="4" borderId="0" xfId="2" applyNumberFormat="1" applyFont="1" applyFill="1" applyAlignment="1">
      <alignment horizontal="left" vertical="center"/>
    </xf>
    <xf numFmtId="3" fontId="7" fillId="4" borderId="0" xfId="2" applyNumberFormat="1" applyFont="1" applyFill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8" fillId="2" borderId="0" xfId="2" applyFont="1" applyFill="1" applyAlignment="1">
      <alignment horizontal="center" vertical="center"/>
    </xf>
    <xf numFmtId="0" fontId="10" fillId="5" borderId="0" xfId="2" applyFont="1" applyFill="1" applyAlignment="1">
      <alignment horizontal="left" vertical="center"/>
    </xf>
    <xf numFmtId="0" fontId="10" fillId="5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6" borderId="0" xfId="2" applyFont="1" applyFill="1" applyAlignment="1">
      <alignment horizontal="left" vertical="center"/>
    </xf>
    <xf numFmtId="0" fontId="7" fillId="6" borderId="0" xfId="2" applyFont="1" applyFill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7" fillId="7" borderId="0" xfId="2" applyFont="1" applyFill="1" applyAlignment="1">
      <alignment horizontal="left" vertical="center" wrapText="1"/>
    </xf>
    <xf numFmtId="3" fontId="7" fillId="7" borderId="0" xfId="2" applyNumberFormat="1" applyFont="1" applyFill="1" applyAlignment="1">
      <alignment horizontal="center" vertical="center"/>
    </xf>
    <xf numFmtId="164" fontId="7" fillId="7" borderId="0" xfId="3" applyNumberFormat="1" applyFont="1" applyFill="1" applyAlignment="1">
      <alignment horizontal="center" vertical="center"/>
    </xf>
    <xf numFmtId="164" fontId="7" fillId="4" borderId="0" xfId="1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3" fontId="8" fillId="0" borderId="0" xfId="2" applyNumberFormat="1" applyFont="1" applyAlignment="1">
      <alignment horizontal="center" vertical="center"/>
    </xf>
    <xf numFmtId="164" fontId="8" fillId="0" borderId="0" xfId="1" applyNumberFormat="1" applyFont="1" applyFill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0" fontId="8" fillId="0" borderId="0" xfId="2" applyFont="1" applyAlignment="1">
      <alignment horizontal="left" vertical="center" wrapText="1"/>
    </xf>
    <xf numFmtId="164" fontId="7" fillId="7" borderId="0" xfId="1" applyNumberFormat="1" applyFont="1" applyFill="1" applyAlignment="1">
      <alignment horizontal="center" vertical="center"/>
    </xf>
    <xf numFmtId="164" fontId="7" fillId="4" borderId="0" xfId="1" applyNumberFormat="1" applyFont="1" applyFill="1" applyAlignment="1">
      <alignment horizontal="left" vertical="center"/>
    </xf>
    <xf numFmtId="165" fontId="7" fillId="7" borderId="0" xfId="2" applyNumberFormat="1" applyFont="1" applyFill="1" applyAlignment="1">
      <alignment horizontal="center" vertical="center"/>
    </xf>
    <xf numFmtId="165" fontId="7" fillId="4" borderId="0" xfId="2" applyNumberFormat="1" applyFont="1" applyFill="1" applyAlignment="1">
      <alignment horizontal="center" vertical="center"/>
    </xf>
    <xf numFmtId="164" fontId="8" fillId="0" borderId="0" xfId="1" applyNumberFormat="1" applyFont="1" applyFill="1" applyAlignment="1">
      <alignment horizontal="left" vertical="center"/>
    </xf>
    <xf numFmtId="165" fontId="8" fillId="0" borderId="0" xfId="2" applyNumberFormat="1" applyFont="1" applyAlignment="1">
      <alignment horizontal="center" vertical="center"/>
    </xf>
    <xf numFmtId="1" fontId="8" fillId="0" borderId="0" xfId="2" applyNumberFormat="1" applyFont="1" applyAlignment="1">
      <alignment horizontal="left" vertical="center"/>
    </xf>
    <xf numFmtId="9" fontId="8" fillId="0" borderId="0" xfId="3" applyFont="1" applyAlignment="1">
      <alignment horizontal="center" vertical="center"/>
    </xf>
    <xf numFmtId="9" fontId="7" fillId="0" borderId="0" xfId="3" applyFont="1" applyAlignment="1">
      <alignment horizontal="center" vertical="center"/>
    </xf>
    <xf numFmtId="164" fontId="8" fillId="0" borderId="0" xfId="3" applyNumberFormat="1" applyFont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4" fontId="8" fillId="0" borderId="1" xfId="2" applyNumberFormat="1" applyFont="1" applyBorder="1" applyAlignment="1">
      <alignment horizontal="left" vertical="center"/>
    </xf>
    <xf numFmtId="164" fontId="8" fillId="0" borderId="1" xfId="3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164" fontId="8" fillId="0" borderId="0" xfId="2" applyNumberFormat="1" applyFont="1" applyAlignment="1">
      <alignment horizontal="center" vertical="center"/>
    </xf>
    <xf numFmtId="9" fontId="8" fillId="0" borderId="0" xfId="2" applyNumberFormat="1" applyFont="1" applyAlignment="1">
      <alignment horizontal="center" vertical="center"/>
    </xf>
  </cellXfs>
  <cellStyles count="4">
    <cellStyle name="Normal" xfId="0" builtinId="0"/>
    <cellStyle name="Normal 3" xfId="2" xr:uid="{C211AB3A-E522-43D8-99FE-1D3B82D8F29C}"/>
    <cellStyle name="Percent" xfId="1" builtinId="5"/>
    <cellStyle name="Percent 2" xfId="3" xr:uid="{4ED8D7CC-A980-4FFF-A751-622301D966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CFEE-35B3-4671-B6B0-E7A1DA14EAEA}">
  <sheetPr>
    <tabColor theme="4"/>
  </sheetPr>
  <dimension ref="A1:AB86"/>
  <sheetViews>
    <sheetView tabSelected="1" zoomScaleNormal="100" workbookViewId="0">
      <selection activeCell="E88" sqref="E88"/>
    </sheetView>
  </sheetViews>
  <sheetFormatPr baseColWidth="10" defaultColWidth="8.6640625" defaultRowHeight="16" x14ac:dyDescent="0.15"/>
  <cols>
    <col min="1" max="1" width="8.6640625" style="32" customWidth="1"/>
    <col min="2" max="2" width="25.1640625" style="42" bestFit="1" customWidth="1"/>
    <col min="3" max="13" width="21" style="32" bestFit="1" customWidth="1"/>
    <col min="14" max="14" width="9.83203125" style="32" customWidth="1"/>
    <col min="15" max="15" width="25.1640625" style="42" bestFit="1" customWidth="1"/>
    <col min="16" max="26" width="8.6640625" style="32" customWidth="1"/>
    <col min="27" max="16384" width="8.6640625" style="1"/>
  </cols>
  <sheetData>
    <row r="1" spans="1:28" ht="20" x14ac:dyDescent="0.15">
      <c r="B1" s="33" t="s">
        <v>0</v>
      </c>
      <c r="C1" s="33"/>
      <c r="O1" s="33"/>
    </row>
    <row r="2" spans="1:28" x14ac:dyDescent="0.15">
      <c r="B2" s="34"/>
      <c r="O2" s="34"/>
    </row>
    <row r="3" spans="1:28" ht="18" x14ac:dyDescent="0.15">
      <c r="A3" s="35"/>
      <c r="B3" s="36" t="s">
        <v>1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O3" s="36" t="s">
        <v>1</v>
      </c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8" x14ac:dyDescent="0.15">
      <c r="A4" s="38"/>
      <c r="B4" s="39" t="s">
        <v>23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O4" s="39" t="s">
        <v>23</v>
      </c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8" x14ac:dyDescent="0.15">
      <c r="A5" s="41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8" x14ac:dyDescent="0.15">
      <c r="A6" s="38"/>
      <c r="B6" s="39"/>
      <c r="C6" s="40">
        <v>2019</v>
      </c>
      <c r="D6" s="40">
        <v>2020</v>
      </c>
      <c r="E6" s="40">
        <v>2021</v>
      </c>
      <c r="F6" s="40">
        <v>2022</v>
      </c>
      <c r="G6" s="40">
        <v>2023</v>
      </c>
      <c r="H6" s="40">
        <v>2024</v>
      </c>
      <c r="I6" s="40">
        <v>2025</v>
      </c>
      <c r="J6" s="40">
        <v>2026</v>
      </c>
      <c r="K6" s="40">
        <v>2027</v>
      </c>
      <c r="L6" s="40">
        <v>2028</v>
      </c>
      <c r="M6" s="40">
        <v>2029</v>
      </c>
      <c r="O6" s="39"/>
      <c r="P6" s="40">
        <v>2019</v>
      </c>
      <c r="Q6" s="40">
        <v>2020</v>
      </c>
      <c r="R6" s="40">
        <v>2021</v>
      </c>
      <c r="S6" s="40">
        <v>2022</v>
      </c>
      <c r="T6" s="40">
        <v>2023</v>
      </c>
      <c r="U6" s="40">
        <v>2024</v>
      </c>
      <c r="V6" s="40">
        <v>2025</v>
      </c>
      <c r="W6" s="40">
        <v>2026</v>
      </c>
      <c r="X6" s="40">
        <v>2027</v>
      </c>
      <c r="Y6" s="40">
        <v>2028</v>
      </c>
      <c r="Z6" s="40">
        <v>2029</v>
      </c>
    </row>
    <row r="7" spans="1:28" x14ac:dyDescent="0.15"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B7" s="13"/>
    </row>
    <row r="8" spans="1:28" ht="17" x14ac:dyDescent="0.15">
      <c r="B8" s="43" t="s">
        <v>16</v>
      </c>
      <c r="C8" s="44">
        <v>407202.72515641176</v>
      </c>
      <c r="D8" s="44">
        <v>250110.56731915314</v>
      </c>
      <c r="E8" s="44">
        <v>328241.40623047733</v>
      </c>
      <c r="F8" s="44">
        <v>377315.35225758702</v>
      </c>
      <c r="G8" s="44">
        <v>380050.73380065575</v>
      </c>
      <c r="H8" s="44">
        <f>California!D$16</f>
        <v>382616.84955837176</v>
      </c>
      <c r="I8" s="44">
        <f>California!D$17</f>
        <v>385856.02531112218</v>
      </c>
      <c r="J8" s="44">
        <f>California!D$18</f>
        <v>394474.16522526735</v>
      </c>
      <c r="K8" s="44">
        <f>California!D$19</f>
        <v>397557.66762737476</v>
      </c>
      <c r="L8" s="44">
        <f>California!D$20</f>
        <v>404532.88583464309</v>
      </c>
      <c r="M8" s="44">
        <f>California!D$21</f>
        <v>411595.72113654355</v>
      </c>
      <c r="O8" s="43" t="s">
        <v>16</v>
      </c>
      <c r="P8" s="45">
        <v>3.0125753456690996E-2</v>
      </c>
      <c r="Q8" s="45">
        <v>-0.38578366040383816</v>
      </c>
      <c r="R8" s="45">
        <v>0.31238519727007574</v>
      </c>
      <c r="S8" s="45">
        <v>0.14950565375244596</v>
      </c>
      <c r="T8" s="45">
        <v>7.249589836994863E-3</v>
      </c>
      <c r="U8" s="45">
        <f>(H8-G8)/G8</f>
        <v>6.7520347403459665E-3</v>
      </c>
      <c r="V8" s="45">
        <f>(I8-H8)/H8</f>
        <v>8.4658471170027672E-3</v>
      </c>
      <c r="W8" s="45">
        <f>(J8-I8)/I8</f>
        <v>2.2335118149823419E-2</v>
      </c>
      <c r="X8" s="45">
        <f>(K8-J8)/J8</f>
        <v>7.816741054123404E-3</v>
      </c>
      <c r="Y8" s="45">
        <f>(L8-K8)/K8</f>
        <v>1.7545173380497114E-2</v>
      </c>
      <c r="Z8" s="45">
        <f>(M8-L8)/L8</f>
        <v>1.7459236440884717E-2</v>
      </c>
      <c r="AB8" s="13"/>
    </row>
    <row r="9" spans="1:28" x14ac:dyDescent="0.15">
      <c r="A9" s="35"/>
      <c r="B9" s="30" t="s">
        <v>42</v>
      </c>
      <c r="C9" s="31">
        <f>C17+C19+C21+C22</f>
        <v>278551.11220900004</v>
      </c>
      <c r="D9" s="31">
        <f t="shared" ref="D9:M9" si="0">D17+D19+D21+D22</f>
        <v>150621.69459716664</v>
      </c>
      <c r="E9" s="31">
        <f t="shared" si="0"/>
        <v>202174.56976929074</v>
      </c>
      <c r="F9" s="31">
        <f t="shared" si="0"/>
        <v>249151.45446630646</v>
      </c>
      <c r="G9" s="31">
        <f t="shared" si="0"/>
        <v>255187.67569422972</v>
      </c>
      <c r="H9" s="31">
        <f t="shared" si="0"/>
        <v>258085.30056963646</v>
      </c>
      <c r="I9" s="31">
        <f t="shared" si="0"/>
        <v>259775.85496760526</v>
      </c>
      <c r="J9" s="31">
        <f t="shared" si="0"/>
        <v>265739.91547653964</v>
      </c>
      <c r="K9" s="31">
        <f t="shared" si="0"/>
        <v>267208.53960321483</v>
      </c>
      <c r="L9" s="31">
        <f t="shared" si="0"/>
        <v>272073.67915508838</v>
      </c>
      <c r="M9" s="31">
        <f t="shared" si="0"/>
        <v>276952.68416177918</v>
      </c>
      <c r="O9" s="30" t="s">
        <v>42</v>
      </c>
      <c r="P9" s="46">
        <v>2.6331096398863663E-2</v>
      </c>
      <c r="Q9" s="46">
        <v>-0.45926730142023819</v>
      </c>
      <c r="R9" s="46">
        <v>0.34226726309248323</v>
      </c>
      <c r="S9" s="46">
        <v>0.23235802974935416</v>
      </c>
      <c r="T9" s="46">
        <v>2.4227116156528616E-2</v>
      </c>
      <c r="U9" s="46">
        <v>1.1354877807181918E-2</v>
      </c>
      <c r="V9" s="46">
        <v>6.550370727187893E-3</v>
      </c>
      <c r="W9" s="46">
        <v>2.2958486691067259E-2</v>
      </c>
      <c r="X9" s="46">
        <v>5.5265469774894438E-3</v>
      </c>
      <c r="Y9" s="46">
        <v>1.8207275707198267E-2</v>
      </c>
      <c r="Z9" s="46">
        <v>1.7932660821297741E-2</v>
      </c>
      <c r="AB9" s="13"/>
    </row>
    <row r="10" spans="1:28" x14ac:dyDescent="0.15">
      <c r="A10" s="35"/>
      <c r="B10" s="30" t="s">
        <v>43</v>
      </c>
      <c r="C10" s="31">
        <f>C11+C12+C13+C14+C15+C16+C18+C20</f>
        <v>128813.27255866669</v>
      </c>
      <c r="D10" s="31">
        <f t="shared" ref="D10:M10" si="1">D11+D12+D13+D14+D15+D16+D18+D20</f>
        <v>100517.39213274997</v>
      </c>
      <c r="E10" s="31">
        <f t="shared" si="1"/>
        <v>126919.29506967284</v>
      </c>
      <c r="F10" s="31">
        <f t="shared" si="1"/>
        <v>128193.77938004893</v>
      </c>
      <c r="G10" s="31">
        <f t="shared" si="1"/>
        <v>124863.05810642597</v>
      </c>
      <c r="H10" s="31">
        <f t="shared" si="1"/>
        <v>124531.54898873529</v>
      </c>
      <c r="I10" s="31">
        <f t="shared" si="1"/>
        <v>126080.1703435169</v>
      </c>
      <c r="J10" s="31">
        <f t="shared" si="1"/>
        <v>128734.24974872776</v>
      </c>
      <c r="K10" s="31">
        <f t="shared" si="1"/>
        <v>130349.12802415989</v>
      </c>
      <c r="L10" s="31">
        <f t="shared" si="1"/>
        <v>132459.20667955474</v>
      </c>
      <c r="M10" s="31">
        <f t="shared" si="1"/>
        <v>134643.0369747644</v>
      </c>
      <c r="O10" s="30" t="s">
        <v>43</v>
      </c>
      <c r="P10" s="46">
        <v>3.8438711258403924E-2</v>
      </c>
      <c r="Q10" s="46">
        <v>-0.22667994249979539</v>
      </c>
      <c r="R10" s="46">
        <v>0.26714508881279642</v>
      </c>
      <c r="S10" s="46">
        <v>1.66345201399547E-2</v>
      </c>
      <c r="T10" s="46">
        <v>-2.5754832224517021E-2</v>
      </c>
      <c r="U10" s="46">
        <v>-2.654981567151049E-3</v>
      </c>
      <c r="V10" s="46">
        <v>1.243557449784638E-2</v>
      </c>
      <c r="W10" s="46">
        <v>2.1050728262656415E-2</v>
      </c>
      <c r="X10" s="46">
        <v>1.2544278454135194E-2</v>
      </c>
      <c r="Y10" s="46">
        <v>1.6187900044898562E-2</v>
      </c>
      <c r="Z10" s="46">
        <v>1.6486813940330913E-2</v>
      </c>
      <c r="AB10" s="13"/>
    </row>
    <row r="11" spans="1:28" x14ac:dyDescent="0.15">
      <c r="B11" s="47" t="s">
        <v>4</v>
      </c>
      <c r="C11" s="48">
        <v>29638.34085075001</v>
      </c>
      <c r="D11" s="48">
        <v>20579.835509749999</v>
      </c>
      <c r="E11" s="48">
        <v>27288.445735992809</v>
      </c>
      <c r="F11" s="48">
        <v>29334.691999487943</v>
      </c>
      <c r="G11" s="48">
        <v>28532.372509405544</v>
      </c>
      <c r="H11" s="48">
        <f>'Central Coast'!D$16</f>
        <v>28777.815239375323</v>
      </c>
      <c r="I11" s="48">
        <f>'Central Coast'!D$17</f>
        <v>29172.896226141958</v>
      </c>
      <c r="J11" s="48">
        <f>'Central Coast'!D$18</f>
        <v>30020.422540370873</v>
      </c>
      <c r="K11" s="48">
        <f>'Central Coast'!D$19</f>
        <v>30369.883902983591</v>
      </c>
      <c r="L11" s="48">
        <f>'Central Coast'!D$20</f>
        <v>30826.423986850081</v>
      </c>
      <c r="M11" s="48">
        <f>'Central Coast'!D$21</f>
        <v>31328.999790947892</v>
      </c>
      <c r="O11" s="47" t="s">
        <v>4</v>
      </c>
      <c r="P11" s="49">
        <v>2.6024668978848142E-2</v>
      </c>
      <c r="Q11" s="49">
        <v>-0.30563469752291417</v>
      </c>
      <c r="R11" s="49">
        <v>0.32597977875306672</v>
      </c>
      <c r="S11" s="49">
        <v>7.4985812064634505E-2</v>
      </c>
      <c r="T11" s="49">
        <v>-2.7350533971735702E-2</v>
      </c>
      <c r="U11" s="49">
        <f>(H11-G11)/G11</f>
        <v>8.6022545054348105E-3</v>
      </c>
      <c r="V11" s="49">
        <f t="shared" ref="V11:Z11" si="2">(I11-H11)/H11</f>
        <v>1.3728665066487228E-2</v>
      </c>
      <c r="W11" s="49">
        <f t="shared" si="2"/>
        <v>2.9051840025038137E-2</v>
      </c>
      <c r="X11" s="49">
        <f t="shared" si="2"/>
        <v>1.1640787605263341E-2</v>
      </c>
      <c r="Y11" s="49">
        <f t="shared" si="2"/>
        <v>1.5032658186146004E-2</v>
      </c>
      <c r="Z11" s="49">
        <f t="shared" si="2"/>
        <v>1.630340918921375E-2</v>
      </c>
      <c r="AB11" s="13"/>
    </row>
    <row r="12" spans="1:28" x14ac:dyDescent="0.15">
      <c r="A12" s="41"/>
      <c r="B12" s="47" t="s">
        <v>5</v>
      </c>
      <c r="C12" s="48">
        <v>26961.307629500003</v>
      </c>
      <c r="D12" s="48">
        <v>23780.101744833333</v>
      </c>
      <c r="E12" s="48">
        <v>28412.853376562703</v>
      </c>
      <c r="F12" s="48">
        <v>26770.812295186872</v>
      </c>
      <c r="G12" s="48">
        <v>25929.041951296633</v>
      </c>
      <c r="H12" s="48">
        <f>'Central Valley'!D$16</f>
        <v>25640.868413978493</v>
      </c>
      <c r="I12" s="48">
        <f>'Central Valley'!D$17</f>
        <v>25922.216288360225</v>
      </c>
      <c r="J12" s="48">
        <f>'Central Valley'!D$18</f>
        <v>26488.491763262253</v>
      </c>
      <c r="K12" s="48">
        <f>'Central Valley'!D$19</f>
        <v>26831.821267407187</v>
      </c>
      <c r="L12" s="48">
        <f>'Central Valley'!D$20</f>
        <v>27203.241932748824</v>
      </c>
      <c r="M12" s="48">
        <f>'Central Valley'!D$21</f>
        <v>27630.594299270473</v>
      </c>
      <c r="O12" s="47" t="s">
        <v>5</v>
      </c>
      <c r="P12" s="50">
        <v>3.0524362078758083E-2</v>
      </c>
      <c r="Q12" s="50">
        <v>-0.11799152802165724</v>
      </c>
      <c r="R12" s="50">
        <v>0.19481630824964502</v>
      </c>
      <c r="S12" s="50">
        <v>-5.7792192132674836E-2</v>
      </c>
      <c r="T12" s="50">
        <v>-3.1443586194117135E-2</v>
      </c>
      <c r="U12" s="50">
        <f t="shared" ref="U12:U22" si="3">(H12-G12)/G12</f>
        <v>-1.1113929232689191E-2</v>
      </c>
      <c r="V12" s="50">
        <f t="shared" ref="V12:V22" si="4">(I12-H12)/H12</f>
        <v>1.0972634383488796E-2</v>
      </c>
      <c r="W12" s="50">
        <f t="shared" ref="W12:Z22" si="5">(J12-I12)/I12</f>
        <v>2.1845179771773634E-2</v>
      </c>
      <c r="X12" s="50">
        <f t="shared" si="5"/>
        <v>1.2961459157939276E-2</v>
      </c>
      <c r="Y12" s="50">
        <f t="shared" si="5"/>
        <v>1.3842543957044177E-2</v>
      </c>
      <c r="Z12" s="50">
        <f t="shared" si="5"/>
        <v>1.5709611655042394E-2</v>
      </c>
      <c r="AB12" s="13"/>
    </row>
    <row r="13" spans="1:28" x14ac:dyDescent="0.15">
      <c r="A13" s="41"/>
      <c r="B13" s="47" t="s">
        <v>6</v>
      </c>
      <c r="C13" s="48">
        <v>16246.356020666668</v>
      </c>
      <c r="D13" s="48">
        <v>11375.421051083331</v>
      </c>
      <c r="E13" s="48">
        <v>15566.877458488338</v>
      </c>
      <c r="F13" s="48">
        <v>17101.899308755746</v>
      </c>
      <c r="G13" s="48">
        <v>16917.991064861897</v>
      </c>
      <c r="H13" s="48">
        <f>Deserts!D$16</f>
        <v>16346.014669738868</v>
      </c>
      <c r="I13" s="48">
        <f>Deserts!D$17</f>
        <v>16460.401759394765</v>
      </c>
      <c r="J13" s="48">
        <f>Deserts!D$18</f>
        <v>16673.723814482564</v>
      </c>
      <c r="K13" s="48">
        <f>Deserts!D$19</f>
        <v>16922.332203108101</v>
      </c>
      <c r="L13" s="48">
        <f>Deserts!D$20</f>
        <v>17219.018801035629</v>
      </c>
      <c r="M13" s="48">
        <f>Deserts!D$21</f>
        <v>17520.174439380997</v>
      </c>
      <c r="O13" s="47" t="s">
        <v>6</v>
      </c>
      <c r="P13" s="50">
        <v>5.658075058914469E-2</v>
      </c>
      <c r="Q13" s="50">
        <v>-0.29981707672705915</v>
      </c>
      <c r="R13" s="50">
        <v>0.3684660452199997</v>
      </c>
      <c r="S13" s="50">
        <v>9.8608205425962936E-2</v>
      </c>
      <c r="T13" s="50">
        <v>-1.0753673646043072E-2</v>
      </c>
      <c r="U13" s="50">
        <f t="shared" si="3"/>
        <v>-3.3808765646590556E-2</v>
      </c>
      <c r="V13" s="50">
        <f t="shared" si="4"/>
        <v>6.9978580080231785E-3</v>
      </c>
      <c r="W13" s="50">
        <f t="shared" si="5"/>
        <v>1.2959711324545653E-2</v>
      </c>
      <c r="X13" s="50">
        <f t="shared" si="5"/>
        <v>1.4910189912681573E-2</v>
      </c>
      <c r="Y13" s="50">
        <f t="shared" si="5"/>
        <v>1.7532252314077373E-2</v>
      </c>
      <c r="Z13" s="50">
        <f t="shared" si="5"/>
        <v>1.7489709595256104E-2</v>
      </c>
      <c r="AB13" s="13"/>
    </row>
    <row r="14" spans="1:28" x14ac:dyDescent="0.15">
      <c r="A14" s="41"/>
      <c r="B14" s="47" t="s">
        <v>7</v>
      </c>
      <c r="C14" s="48">
        <v>15895.851672166667</v>
      </c>
      <c r="D14" s="48">
        <v>11571.52182675</v>
      </c>
      <c r="E14" s="48">
        <v>14421.155978471315</v>
      </c>
      <c r="F14" s="48">
        <v>14452.210631080377</v>
      </c>
      <c r="G14" s="48">
        <v>14275.499458069331</v>
      </c>
      <c r="H14" s="48">
        <f>'Gold Country'!D$16</f>
        <v>14524.60741807476</v>
      </c>
      <c r="I14" s="48">
        <f>'Gold Country'!D$17</f>
        <v>14895.065403621873</v>
      </c>
      <c r="J14" s="48">
        <f>'Gold Country'!D$18</f>
        <v>15139.371460847162</v>
      </c>
      <c r="K14" s="48">
        <f>'Gold Country'!D$19</f>
        <v>15353.853721878409</v>
      </c>
      <c r="L14" s="48">
        <f>'Gold Country'!D$20</f>
        <v>15661.090376354619</v>
      </c>
      <c r="M14" s="48">
        <f>'Gold Country'!D$21</f>
        <v>15947.991939618369</v>
      </c>
      <c r="O14" s="47" t="s">
        <v>7</v>
      </c>
      <c r="P14" s="50">
        <v>8.9426656082991496E-3</v>
      </c>
      <c r="Q14" s="50">
        <v>-0.27204140643740948</v>
      </c>
      <c r="R14" s="50">
        <v>0.24626269512224286</v>
      </c>
      <c r="S14" s="50">
        <v>2.1534093837847212E-3</v>
      </c>
      <c r="T14" s="50">
        <v>-1.2227276333145798E-2</v>
      </c>
      <c r="U14" s="50">
        <f t="shared" si="3"/>
        <v>1.7450034637115197E-2</v>
      </c>
      <c r="V14" s="50">
        <f t="shared" si="4"/>
        <v>2.550554206966767E-2</v>
      </c>
      <c r="W14" s="50">
        <f t="shared" si="5"/>
        <v>1.6401811647358301E-2</v>
      </c>
      <c r="X14" s="50">
        <f t="shared" si="5"/>
        <v>1.4167183993465849E-2</v>
      </c>
      <c r="Y14" s="50">
        <f t="shared" si="5"/>
        <v>2.0010393484367662E-2</v>
      </c>
      <c r="Z14" s="50">
        <f t="shared" si="5"/>
        <v>1.8319386222106101E-2</v>
      </c>
      <c r="AB14" s="13"/>
    </row>
    <row r="15" spans="1:28" x14ac:dyDescent="0.15">
      <c r="A15" s="41"/>
      <c r="B15" s="47" t="s">
        <v>8</v>
      </c>
      <c r="C15" s="48">
        <v>9468.0859479166666</v>
      </c>
      <c r="D15" s="48">
        <v>6870.3803529166662</v>
      </c>
      <c r="E15" s="48">
        <v>8833.3594647741866</v>
      </c>
      <c r="F15" s="48">
        <v>9463.9478900336599</v>
      </c>
      <c r="G15" s="48">
        <v>9456.797303647696</v>
      </c>
      <c r="H15" s="48">
        <f>'High Siera'!D$16</f>
        <v>9294.3205069124433</v>
      </c>
      <c r="I15" s="48">
        <f>'High Siera'!D$17</f>
        <v>9340.0887117271741</v>
      </c>
      <c r="J15" s="48">
        <f>'High Siera'!D$18</f>
        <v>9528.8999289471249</v>
      </c>
      <c r="K15" s="48">
        <f>'High Siera'!D$19</f>
        <v>9654.6340092431983</v>
      </c>
      <c r="L15" s="48">
        <f>'High Siera'!D$20</f>
        <v>9825.2237466805873</v>
      </c>
      <c r="M15" s="48">
        <f>'High Siera'!D$21</f>
        <v>9995.0871745330041</v>
      </c>
      <c r="O15" s="47" t="s">
        <v>8</v>
      </c>
      <c r="P15" s="50">
        <v>4.9273042152533586E-2</v>
      </c>
      <c r="Q15" s="50">
        <v>-0.27436438677149877</v>
      </c>
      <c r="R15" s="50">
        <v>0.28571622108580663</v>
      </c>
      <c r="S15" s="50">
        <v>7.1387157714360328E-2</v>
      </c>
      <c r="T15" s="50">
        <v>-7.5556062533843615E-4</v>
      </c>
      <c r="U15" s="50">
        <f t="shared" si="3"/>
        <v>-1.7180953711737251E-2</v>
      </c>
      <c r="V15" s="50">
        <f t="shared" si="4"/>
        <v>4.9243196187060368E-3</v>
      </c>
      <c r="W15" s="50">
        <f t="shared" si="5"/>
        <v>2.0215141745161831E-2</v>
      </c>
      <c r="X15" s="50">
        <f t="shared" si="5"/>
        <v>1.3195025788246068E-2</v>
      </c>
      <c r="Y15" s="50">
        <f t="shared" si="5"/>
        <v>1.7669208099868827E-2</v>
      </c>
      <c r="Z15" s="50">
        <f t="shared" si="5"/>
        <v>1.7288504794591018E-2</v>
      </c>
      <c r="AB15" s="13"/>
    </row>
    <row r="16" spans="1:28" x14ac:dyDescent="0.15">
      <c r="A16" s="41"/>
      <c r="B16" s="47" t="s">
        <v>9</v>
      </c>
      <c r="C16" s="48">
        <v>18612.485385416665</v>
      </c>
      <c r="D16" s="48">
        <v>16408.931992999998</v>
      </c>
      <c r="E16" s="48">
        <v>20288.767705017908</v>
      </c>
      <c r="F16" s="48">
        <v>20245.916845878124</v>
      </c>
      <c r="G16" s="48">
        <v>19812.317822293542</v>
      </c>
      <c r="H16" s="48">
        <f>'Inland Empire'!D$16</f>
        <v>19738.098060675886</v>
      </c>
      <c r="I16" s="48">
        <f>'Inland Empire'!D$17</f>
        <v>20078.818313182841</v>
      </c>
      <c r="J16" s="48">
        <f>'Inland Empire'!D$18</f>
        <v>20368.256015190145</v>
      </c>
      <c r="K16" s="48">
        <f>'Inland Empire'!D$19</f>
        <v>20586.588980735469</v>
      </c>
      <c r="L16" s="48">
        <f>'Inland Empire'!D$20</f>
        <v>20934.08748603757</v>
      </c>
      <c r="M16" s="48">
        <f>'Inland Empire'!D$21</f>
        <v>21272.004224117143</v>
      </c>
      <c r="O16" s="47" t="s">
        <v>9</v>
      </c>
      <c r="P16" s="50">
        <v>3.5766358880361393E-2</v>
      </c>
      <c r="Q16" s="50">
        <v>-0.11839114157979158</v>
      </c>
      <c r="R16" s="50">
        <v>0.23644657151806325</v>
      </c>
      <c r="S16" s="50">
        <v>-2.1120483886848396E-3</v>
      </c>
      <c r="T16" s="50">
        <v>-2.1416615848289355E-2</v>
      </c>
      <c r="U16" s="50">
        <f t="shared" si="3"/>
        <v>-3.7461422880134473E-3</v>
      </c>
      <c r="V16" s="50">
        <f t="shared" si="4"/>
        <v>1.7262060987819815E-2</v>
      </c>
      <c r="W16" s="50">
        <f t="shared" si="5"/>
        <v>1.4415076499659975E-2</v>
      </c>
      <c r="X16" s="50">
        <f t="shared" si="5"/>
        <v>1.0719276377049471E-2</v>
      </c>
      <c r="Y16" s="50">
        <f t="shared" si="5"/>
        <v>1.6879848605676411E-2</v>
      </c>
      <c r="Z16" s="50">
        <f t="shared" si="5"/>
        <v>1.6141937799054012E-2</v>
      </c>
      <c r="AB16" s="13"/>
    </row>
    <row r="17" spans="1:28" x14ac:dyDescent="0.15">
      <c r="A17" s="41"/>
      <c r="B17" s="47" t="s">
        <v>10</v>
      </c>
      <c r="C17" s="48">
        <v>87207.572266833318</v>
      </c>
      <c r="D17" s="48">
        <v>51275.352562749991</v>
      </c>
      <c r="E17" s="48">
        <v>68984.612227519654</v>
      </c>
      <c r="F17" s="48">
        <v>79696.970654121804</v>
      </c>
      <c r="G17" s="48">
        <v>81973.0048468608</v>
      </c>
      <c r="H17" s="48">
        <f>'Los Angeles'!D$16</f>
        <v>82423.293593189956</v>
      </c>
      <c r="I17" s="48">
        <f>'Los Angeles'!D$17</f>
        <v>81538.616399340477</v>
      </c>
      <c r="J17" s="48">
        <f>'Los Angeles'!D$18</f>
        <v>83006.606134297064</v>
      </c>
      <c r="K17" s="48">
        <f>'Los Angeles'!D$19</f>
        <v>84048.171356732884</v>
      </c>
      <c r="L17" s="48">
        <f>'Los Angeles'!D$20</f>
        <v>85845.597457413038</v>
      </c>
      <c r="M17" s="48">
        <f>'Los Angeles'!D$21</f>
        <v>87177.592013529502</v>
      </c>
      <c r="O17" s="47" t="s">
        <v>10</v>
      </c>
      <c r="P17" s="50">
        <v>5.4841205201465959E-2</v>
      </c>
      <c r="Q17" s="50">
        <v>-0.41203095981321136</v>
      </c>
      <c r="R17" s="50">
        <v>0.34537567817007875</v>
      </c>
      <c r="S17" s="50">
        <v>0.15528620196155463</v>
      </c>
      <c r="T17" s="50">
        <v>2.8558603596324783E-2</v>
      </c>
      <c r="U17" s="50">
        <f t="shared" si="3"/>
        <v>5.493134565097005E-3</v>
      </c>
      <c r="V17" s="50">
        <f t="shared" si="4"/>
        <v>-1.0733339512200384E-2</v>
      </c>
      <c r="W17" s="50">
        <f t="shared" si="5"/>
        <v>1.8003613499731411E-2</v>
      </c>
      <c r="X17" s="50">
        <f t="shared" si="5"/>
        <v>1.2547979865008132E-2</v>
      </c>
      <c r="Y17" s="50">
        <f t="shared" si="5"/>
        <v>2.1385665763639084E-2</v>
      </c>
      <c r="Z17" s="50">
        <f t="shared" si="5"/>
        <v>1.5516166181699072E-2</v>
      </c>
      <c r="AB17" s="13"/>
    </row>
    <row r="18" spans="1:28" x14ac:dyDescent="0.15">
      <c r="A18" s="41"/>
      <c r="B18" s="47" t="s">
        <v>11</v>
      </c>
      <c r="C18" s="48">
        <v>5500.7114684166672</v>
      </c>
      <c r="D18" s="48">
        <v>4604.5584790000003</v>
      </c>
      <c r="E18" s="48">
        <v>5625.4588345304628</v>
      </c>
      <c r="F18" s="48">
        <v>5108.5746223758279</v>
      </c>
      <c r="G18" s="48">
        <v>4668.8343001903431</v>
      </c>
      <c r="H18" s="48">
        <f>'North Coast'!D$16</f>
        <v>4781.5461853558618</v>
      </c>
      <c r="I18" s="48">
        <f>'North Coast'!D$17</f>
        <v>4735.5693836415794</v>
      </c>
      <c r="J18" s="48">
        <f>'North Coast'!D$18</f>
        <v>4870.7897620897693</v>
      </c>
      <c r="K18" s="48">
        <f>'North Coast'!D$19</f>
        <v>4940.2591993409505</v>
      </c>
      <c r="L18" s="48">
        <f>'North Coast'!D$20</f>
        <v>5016.9844436979438</v>
      </c>
      <c r="M18" s="48">
        <f>'North Coast'!D$21</f>
        <v>5093.6287435979475</v>
      </c>
      <c r="O18" s="47" t="s">
        <v>11</v>
      </c>
      <c r="P18" s="50">
        <v>-0.41709082560355393</v>
      </c>
      <c r="Q18" s="50">
        <v>-0.16291583271765697</v>
      </c>
      <c r="R18" s="50">
        <v>0.22171514602029285</v>
      </c>
      <c r="S18" s="50">
        <v>-9.1883031652790992E-2</v>
      </c>
      <c r="T18" s="50">
        <v>-8.6078868312777224E-2</v>
      </c>
      <c r="U18" s="50">
        <f t="shared" si="3"/>
        <v>2.414133334329803E-2</v>
      </c>
      <c r="V18" s="50">
        <f t="shared" si="4"/>
        <v>-9.6154674517403196E-3</v>
      </c>
      <c r="W18" s="50">
        <f t="shared" si="5"/>
        <v>2.8554196442626609E-2</v>
      </c>
      <c r="X18" s="50">
        <f t="shared" si="5"/>
        <v>1.4262458583590357E-2</v>
      </c>
      <c r="Y18" s="50">
        <f t="shared" si="5"/>
        <v>1.5530611099763487E-2</v>
      </c>
      <c r="Z18" s="50">
        <f t="shared" si="5"/>
        <v>1.5276965826808575E-2</v>
      </c>
    </row>
    <row r="19" spans="1:28" x14ac:dyDescent="0.15">
      <c r="B19" s="47" t="s">
        <v>12</v>
      </c>
      <c r="C19" s="48">
        <v>45141.360639583327</v>
      </c>
      <c r="D19" s="48">
        <v>22478.539628416667</v>
      </c>
      <c r="E19" s="48">
        <v>32935.691948052525</v>
      </c>
      <c r="F19" s="48">
        <v>42427.597989092079</v>
      </c>
      <c r="G19" s="48">
        <v>43160.16872931338</v>
      </c>
      <c r="H19" s="48">
        <f>'Orange County'!D$16</f>
        <v>43783.753373015876</v>
      </c>
      <c r="I19" s="48">
        <f>'Orange County'!D$17</f>
        <v>44152.016512716742</v>
      </c>
      <c r="J19" s="48">
        <f>'Orange County'!D$18</f>
        <v>45177.35180342129</v>
      </c>
      <c r="K19" s="48">
        <f>'Orange County'!D$19</f>
        <v>45540.099752379465</v>
      </c>
      <c r="L19" s="48">
        <f>'Orange County'!D$20</f>
        <v>46387.79583202098</v>
      </c>
      <c r="M19" s="48">
        <f>'Orange County'!D$21</f>
        <v>47167.381436945856</v>
      </c>
      <c r="O19" s="47" t="s">
        <v>12</v>
      </c>
      <c r="P19" s="50">
        <v>5.7624372994296014E-3</v>
      </c>
      <c r="Q19" s="50">
        <v>-0.50204115892984846</v>
      </c>
      <c r="R19" s="50">
        <v>0.46520603617933665</v>
      </c>
      <c r="S19" s="50">
        <v>0.28819513055959356</v>
      </c>
      <c r="T19" s="50">
        <v>1.7266373184964268E-2</v>
      </c>
      <c r="U19" s="50">
        <f t="shared" si="3"/>
        <v>1.444815120194309E-2</v>
      </c>
      <c r="V19" s="50">
        <f t="shared" si="4"/>
        <v>8.4109540943976841E-3</v>
      </c>
      <c r="W19" s="50">
        <f t="shared" si="5"/>
        <v>2.3222841711187287E-2</v>
      </c>
      <c r="X19" s="50">
        <f t="shared" si="5"/>
        <v>8.029420372769696E-3</v>
      </c>
      <c r="Y19" s="50">
        <f t="shared" si="5"/>
        <v>1.861427805935412E-2</v>
      </c>
      <c r="Z19" s="50">
        <f t="shared" si="5"/>
        <v>1.6805834184230341E-2</v>
      </c>
    </row>
    <row r="20" spans="1:28" x14ac:dyDescent="0.15">
      <c r="B20" s="47" t="s">
        <v>13</v>
      </c>
      <c r="C20" s="48">
        <v>6490.1335838333325</v>
      </c>
      <c r="D20" s="48">
        <v>5326.6411754166666</v>
      </c>
      <c r="E20" s="48">
        <v>6482.3765158351207</v>
      </c>
      <c r="F20" s="48">
        <v>5715.7257872503787</v>
      </c>
      <c r="G20" s="48">
        <v>5270.2036966610058</v>
      </c>
      <c r="H20" s="48">
        <f>'Shasta Cascade'!D$16</f>
        <v>5428.2784946236561</v>
      </c>
      <c r="I20" s="48">
        <f>'Shasta Cascade'!D$17</f>
        <v>5475.1142574464839</v>
      </c>
      <c r="J20" s="48">
        <f>'Shasta Cascade'!D$18</f>
        <v>5644.2944635378626</v>
      </c>
      <c r="K20" s="48">
        <f>'Shasta Cascade'!D$19</f>
        <v>5689.7547394629955</v>
      </c>
      <c r="L20" s="48">
        <f>'Shasta Cascade'!D$20</f>
        <v>5773.1359061494677</v>
      </c>
      <c r="M20" s="48">
        <f>'Shasta Cascade'!D$21</f>
        <v>5854.5563632985641</v>
      </c>
      <c r="O20" s="47" t="s">
        <v>13</v>
      </c>
      <c r="P20" s="50">
        <v>7.741681047178206E-2</v>
      </c>
      <c r="Q20" s="50">
        <v>-0.1792709492628749</v>
      </c>
      <c r="R20" s="50">
        <v>0.21697262915932169</v>
      </c>
      <c r="S20" s="50">
        <v>-0.11826692366788183</v>
      </c>
      <c r="T20" s="50">
        <v>-7.7946722283837366E-2</v>
      </c>
      <c r="U20" s="50">
        <f t="shared" si="3"/>
        <v>2.9994058495841504E-2</v>
      </c>
      <c r="V20" s="50">
        <f t="shared" si="4"/>
        <v>8.6281061056862531E-3</v>
      </c>
      <c r="W20" s="50">
        <f t="shared" si="5"/>
        <v>3.089984941616214E-2</v>
      </c>
      <c r="X20" s="50">
        <f t="shared" si="5"/>
        <v>8.0541999037800488E-3</v>
      </c>
      <c r="Y20" s="50">
        <f t="shared" si="5"/>
        <v>1.4654615269821238E-2</v>
      </c>
      <c r="Z20" s="50">
        <f t="shared" si="5"/>
        <v>1.4103332828587731E-2</v>
      </c>
    </row>
    <row r="21" spans="1:28" x14ac:dyDescent="0.15">
      <c r="B21" s="47" t="s">
        <v>14</v>
      </c>
      <c r="C21" s="48">
        <v>49513.618740916681</v>
      </c>
      <c r="D21" s="48">
        <v>29067.178127249994</v>
      </c>
      <c r="E21" s="48">
        <v>39283.235388803732</v>
      </c>
      <c r="F21" s="48">
        <v>46413.875224014308</v>
      </c>
      <c r="G21" s="48">
        <v>47100.934260470072</v>
      </c>
      <c r="H21" s="48">
        <f>'San Diego'!D$16</f>
        <v>47852.061015104955</v>
      </c>
      <c r="I21" s="48">
        <f>'San Diego'!D$17</f>
        <v>47768.683739193861</v>
      </c>
      <c r="J21" s="48">
        <f>'San Diego'!D$18</f>
        <v>49355.857587520753</v>
      </c>
      <c r="K21" s="48">
        <f>'San Diego'!D$19</f>
        <v>49905.229059619007</v>
      </c>
      <c r="L21" s="48">
        <f>'San Diego'!D$20</f>
        <v>50749.997552059816</v>
      </c>
      <c r="M21" s="48">
        <f>'San Diego'!D$21</f>
        <v>51961.815550649611</v>
      </c>
      <c r="O21" s="47" t="s">
        <v>14</v>
      </c>
      <c r="P21" s="50">
        <v>1.9415838155166787E-2</v>
      </c>
      <c r="Q21" s="50">
        <v>-0.41294579417945709</v>
      </c>
      <c r="R21" s="50">
        <v>0.35146367551848301</v>
      </c>
      <c r="S21" s="50">
        <v>0.18151864948585428</v>
      </c>
      <c r="T21" s="50">
        <v>1.4802880240869953E-2</v>
      </c>
      <c r="U21" s="50">
        <f t="shared" si="3"/>
        <v>1.5947173159689812E-2</v>
      </c>
      <c r="V21" s="50">
        <f t="shared" si="4"/>
        <v>-1.7423967566365741E-3</v>
      </c>
      <c r="W21" s="50">
        <f t="shared" si="5"/>
        <v>3.3226242049969407E-2</v>
      </c>
      <c r="X21" s="50">
        <f t="shared" si="5"/>
        <v>1.1130826186619798E-2</v>
      </c>
      <c r="Y21" s="50">
        <f t="shared" si="5"/>
        <v>1.692745446437309E-2</v>
      </c>
      <c r="Z21" s="50">
        <f t="shared" si="5"/>
        <v>2.3878188316101907E-2</v>
      </c>
    </row>
    <row r="22" spans="1:28" x14ac:dyDescent="0.15">
      <c r="B22" s="47" t="s">
        <v>15</v>
      </c>
      <c r="C22" s="48">
        <v>96688.560561666673</v>
      </c>
      <c r="D22" s="48">
        <v>47800.624278750001</v>
      </c>
      <c r="E22" s="48">
        <v>60971.030204914838</v>
      </c>
      <c r="F22" s="48">
        <v>80613.010599078261</v>
      </c>
      <c r="G22" s="48">
        <v>82953.567857585454</v>
      </c>
      <c r="H22" s="48">
        <f>'San Francisco Bay Area'!D$16</f>
        <v>84026.192588325663</v>
      </c>
      <c r="I22" s="48">
        <f>'San Francisco Bay Area'!D$17</f>
        <v>86316.53831635417</v>
      </c>
      <c r="J22" s="48">
        <f>'San Francisco Bay Area'!D$18</f>
        <v>88200.099951300552</v>
      </c>
      <c r="K22" s="48">
        <f>'San Francisco Bay Area'!D$19</f>
        <v>87715.039434483479</v>
      </c>
      <c r="L22" s="48">
        <f>'San Francisco Bay Area'!D$20</f>
        <v>89090.288313594516</v>
      </c>
      <c r="M22" s="48">
        <f>'San Francisco Bay Area'!D$21</f>
        <v>90645.895160654225</v>
      </c>
      <c r="O22" s="47" t="s">
        <v>15</v>
      </c>
      <c r="P22" s="50">
        <v>1.4807116366230444E-2</v>
      </c>
      <c r="Q22" s="50">
        <v>-0.50562275411822477</v>
      </c>
      <c r="R22" s="50">
        <v>0.27552790627506107</v>
      </c>
      <c r="S22" s="50">
        <v>0.32215267362466338</v>
      </c>
      <c r="T22" s="50">
        <v>2.9034485142203081E-2</v>
      </c>
      <c r="U22" s="50">
        <f t="shared" si="3"/>
        <v>1.2930423108282558E-2</v>
      </c>
      <c r="V22" s="50">
        <f t="shared" si="4"/>
        <v>2.7257521226145869E-2</v>
      </c>
      <c r="W22" s="50">
        <f t="shared" si="5"/>
        <v>2.18215613332759E-2</v>
      </c>
      <c r="X22" s="50">
        <f t="shared" si="5"/>
        <v>-5.499546112588286E-3</v>
      </c>
      <c r="Y22" s="50">
        <f t="shared" si="5"/>
        <v>1.5678598424825933E-2</v>
      </c>
      <c r="Z22" s="50">
        <f t="shared" si="5"/>
        <v>1.746101484803855E-2</v>
      </c>
    </row>
    <row r="23" spans="1:28" x14ac:dyDescent="0.15">
      <c r="B23" s="47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O23" s="47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8" ht="18" x14ac:dyDescent="0.15">
      <c r="A24" s="41"/>
      <c r="B24" s="36" t="s">
        <v>17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O24" s="36" t="s">
        <v>17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8" x14ac:dyDescent="0.15">
      <c r="A25" s="35"/>
      <c r="B25" s="39" t="s">
        <v>2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O25" s="39" t="s">
        <v>3</v>
      </c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8" x14ac:dyDescent="0.15">
      <c r="A26" s="41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O26" s="39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8" x14ac:dyDescent="0.15">
      <c r="A27" s="38"/>
      <c r="B27" s="39"/>
      <c r="C27" s="40">
        <v>2019</v>
      </c>
      <c r="D27" s="40">
        <v>2020</v>
      </c>
      <c r="E27" s="40">
        <v>2021</v>
      </c>
      <c r="F27" s="40">
        <v>2022</v>
      </c>
      <c r="G27" s="40">
        <v>2023</v>
      </c>
      <c r="H27" s="40">
        <v>2024</v>
      </c>
      <c r="I27" s="40">
        <v>2025</v>
      </c>
      <c r="J27" s="40">
        <v>2026</v>
      </c>
      <c r="K27" s="40">
        <v>2027</v>
      </c>
      <c r="L27" s="40">
        <v>2028</v>
      </c>
      <c r="M27" s="40">
        <v>2029</v>
      </c>
      <c r="O27" s="39"/>
      <c r="P27" s="40">
        <v>2019</v>
      </c>
      <c r="Q27" s="40">
        <v>2020</v>
      </c>
      <c r="R27" s="40">
        <v>2021</v>
      </c>
      <c r="S27" s="40">
        <v>2022</v>
      </c>
      <c r="T27" s="40">
        <v>2023</v>
      </c>
      <c r="U27" s="40">
        <v>2024</v>
      </c>
      <c r="V27" s="40">
        <v>2025</v>
      </c>
      <c r="W27" s="40">
        <v>2026</v>
      </c>
      <c r="X27" s="40">
        <v>2027</v>
      </c>
      <c r="Y27" s="40">
        <v>2028</v>
      </c>
      <c r="Z27" s="40">
        <v>2029</v>
      </c>
    </row>
    <row r="28" spans="1:28" x14ac:dyDescent="0.15">
      <c r="A28" s="51"/>
      <c r="B28" s="52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O28" s="52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8" ht="17" x14ac:dyDescent="0.15">
      <c r="B29" s="43" t="s">
        <v>16</v>
      </c>
      <c r="C29" s="53">
        <v>0.75209222762842132</v>
      </c>
      <c r="D29" s="53">
        <v>0.49071508382038509</v>
      </c>
      <c r="E29" s="53">
        <v>0.60803789951532095</v>
      </c>
      <c r="F29" s="53">
        <v>0.67389985994345802</v>
      </c>
      <c r="G29" s="53">
        <v>0.67101193456705299</v>
      </c>
      <c r="H29" s="53">
        <f>California!E$16</f>
        <v>0.67078660915448729</v>
      </c>
      <c r="I29" s="53">
        <f>California!E$17</f>
        <v>0.67324806274207938</v>
      </c>
      <c r="J29" s="53">
        <f>California!E$18</f>
        <v>0.68673587853339191</v>
      </c>
      <c r="K29" s="53">
        <f>California!E$19</f>
        <v>0.68489030029770137</v>
      </c>
      <c r="L29" s="53">
        <f>California!E$20</f>
        <v>0.68499258485047643</v>
      </c>
      <c r="M29" s="53">
        <f>California!E$21</f>
        <v>0.69152085333507762</v>
      </c>
      <c r="O29" s="43" t="s">
        <v>16</v>
      </c>
      <c r="P29" s="45">
        <v>-3.6554737738689891E-3</v>
      </c>
      <c r="Q29" s="45">
        <v>-0.34753336652904787</v>
      </c>
      <c r="R29" s="45">
        <v>0.23908540732340544</v>
      </c>
      <c r="S29" s="45">
        <v>0.10831884078383358</v>
      </c>
      <c r="T29" s="45">
        <v>-4.2853924567470836E-3</v>
      </c>
      <c r="U29" s="45">
        <f>(H29-G29)/G29</f>
        <v>-3.3579941124457888E-4</v>
      </c>
      <c r="V29" s="45">
        <f>(I29-H29)/H29</f>
        <v>3.669503168369297E-3</v>
      </c>
      <c r="W29" s="45">
        <f>(J29-I29)/I29</f>
        <v>2.0033946679887733E-2</v>
      </c>
      <c r="X29" s="45">
        <f>(K29-J29)/J29</f>
        <v>-2.6874644144587205E-3</v>
      </c>
      <c r="Y29" s="45">
        <f>(L29-K29)/K29</f>
        <v>1.4934443184637882E-4</v>
      </c>
      <c r="Z29" s="45">
        <f>(M29-L29)/L29</f>
        <v>9.5304221227828605E-3</v>
      </c>
    </row>
    <row r="30" spans="1:28" x14ac:dyDescent="0.15">
      <c r="A30" s="35"/>
      <c r="B30" s="54" t="s">
        <v>42</v>
      </c>
      <c r="C30" s="46">
        <v>0.78653149525520538</v>
      </c>
      <c r="D30" s="46">
        <v>0.46693687215078289</v>
      </c>
      <c r="E30" s="46">
        <v>0.58466230859600465</v>
      </c>
      <c r="F30" s="46">
        <v>0.68646897455149547</v>
      </c>
      <c r="G30" s="46">
        <v>0.69363882317893555</v>
      </c>
      <c r="H30" s="46">
        <v>0.69899557264852241</v>
      </c>
      <c r="I30" s="46">
        <v>0.70286562501944994</v>
      </c>
      <c r="J30" s="46">
        <v>0.72137296934364681</v>
      </c>
      <c r="K30" s="46">
        <v>0.7200515866068079</v>
      </c>
      <c r="L30" s="46">
        <v>0.72386453658500405</v>
      </c>
      <c r="M30" s="46">
        <v>0.73249581287816845</v>
      </c>
      <c r="O30" s="30" t="s">
        <v>42</v>
      </c>
      <c r="P30" s="46">
        <v>-3.8851648855284804E-3</v>
      </c>
      <c r="Q30" s="46">
        <v>-0.40633417101844582</v>
      </c>
      <c r="R30" s="46">
        <v>0.25212281031258099</v>
      </c>
      <c r="S30" s="46">
        <v>0.17412900482667881</v>
      </c>
      <c r="T30" s="46">
        <v>1.044453412060542E-2</v>
      </c>
      <c r="U30" s="46">
        <v>7.7226782737405131E-3</v>
      </c>
      <c r="V30" s="46">
        <v>5.5365906771966955E-3</v>
      </c>
      <c r="W30" s="46">
        <v>2.6331269684279679E-2</v>
      </c>
      <c r="X30" s="46">
        <v>-1.8317608130523633E-3</v>
      </c>
      <c r="Y30" s="46">
        <v>5.295384454556018E-3</v>
      </c>
      <c r="Z30" s="46">
        <v>1.1923883346854458E-2</v>
      </c>
    </row>
    <row r="31" spans="1:28" x14ac:dyDescent="0.15">
      <c r="A31" s="35"/>
      <c r="B31" s="54" t="s">
        <v>43</v>
      </c>
      <c r="C31" s="46">
        <v>0.68696507253533134</v>
      </c>
      <c r="D31" s="46">
        <v>0.53170783825181178</v>
      </c>
      <c r="E31" s="46">
        <v>0.64969537519309339</v>
      </c>
      <c r="F31" s="46">
        <v>0.65073726718942548</v>
      </c>
      <c r="G31" s="46">
        <v>0.6290729250971776</v>
      </c>
      <c r="H31" s="46">
        <v>0.6190143297677192</v>
      </c>
      <c r="I31" s="46">
        <v>0.61946497196869243</v>
      </c>
      <c r="J31" s="46">
        <v>0.62480740209687269</v>
      </c>
      <c r="K31" s="46">
        <v>0.62256973937784299</v>
      </c>
      <c r="L31" s="46">
        <v>0.61694257842601641</v>
      </c>
      <c r="M31" s="46">
        <v>0.62016312644685834</v>
      </c>
      <c r="O31" s="30" t="s">
        <v>43</v>
      </c>
      <c r="P31" s="46">
        <v>-2.1981654544032114E-3</v>
      </c>
      <c r="Q31" s="46">
        <v>-0.22600455320169788</v>
      </c>
      <c r="R31" s="46">
        <v>0.22190294829809121</v>
      </c>
      <c r="S31" s="46">
        <v>1.6036623256283633E-3</v>
      </c>
      <c r="T31" s="46">
        <v>-3.3291995379052919E-2</v>
      </c>
      <c r="U31" s="46">
        <v>-1.5989553719713112E-2</v>
      </c>
      <c r="V31" s="46">
        <v>7.2799962666825202E-4</v>
      </c>
      <c r="W31" s="46">
        <v>8.6242650834666978E-3</v>
      </c>
      <c r="X31" s="46">
        <v>-3.5813639715535084E-3</v>
      </c>
      <c r="Y31" s="46">
        <v>-9.0386033819279676E-3</v>
      </c>
      <c r="Z31" s="46">
        <v>5.2201746701587837E-3</v>
      </c>
    </row>
    <row r="32" spans="1:28" x14ac:dyDescent="0.15">
      <c r="B32" s="47" t="s">
        <v>4</v>
      </c>
      <c r="C32" s="49">
        <v>0.71270853664738931</v>
      </c>
      <c r="D32" s="49">
        <v>0.49213060240846207</v>
      </c>
      <c r="E32" s="49">
        <v>0.64453409708697951</v>
      </c>
      <c r="F32" s="49">
        <v>0.68931031821135247</v>
      </c>
      <c r="G32" s="49">
        <v>0.66595762229480038</v>
      </c>
      <c r="H32" s="49">
        <f>'Central Coast'!E$16</f>
        <v>0.66836813140868823</v>
      </c>
      <c r="I32" s="49">
        <f>'Central Coast'!E$17</f>
        <v>0.67203170297493564</v>
      </c>
      <c r="J32" s="49">
        <f>'Central Coast'!E$18</f>
        <v>0.68159105771409956</v>
      </c>
      <c r="K32" s="49">
        <f>'Central Coast'!E$19</f>
        <v>0.68045177442202365</v>
      </c>
      <c r="L32" s="49">
        <f>'Central Coast'!E$20</f>
        <v>0.67930784655624088</v>
      </c>
      <c r="M32" s="49">
        <f>'Central Coast'!E$21</f>
        <v>0.68582872232020986</v>
      </c>
      <c r="O32" s="47" t="s">
        <v>4</v>
      </c>
      <c r="P32" s="49">
        <v>-1.1490102015424886E-2</v>
      </c>
      <c r="Q32" s="49">
        <v>-0.30949248240597071</v>
      </c>
      <c r="R32" s="49">
        <v>0.30968099511118097</v>
      </c>
      <c r="S32" s="49">
        <v>6.9470678629326876E-2</v>
      </c>
      <c r="T32" s="49">
        <v>-3.3878349561266563E-2</v>
      </c>
      <c r="U32" s="49">
        <f>(H32-G32)/G32</f>
        <v>3.6196133705648694E-3</v>
      </c>
      <c r="V32" s="49">
        <f t="shared" ref="V32:V43" si="6">(I32-H32)/H32</f>
        <v>5.4813678182499158E-3</v>
      </c>
      <c r="W32" s="49">
        <f t="shared" ref="W32:Z43" si="7">(J32-I32)/I32</f>
        <v>1.4224559193929049E-2</v>
      </c>
      <c r="X32" s="49">
        <f t="shared" si="7"/>
        <v>-1.6715056325662567E-3</v>
      </c>
      <c r="Y32" s="49">
        <f t="shared" si="7"/>
        <v>-1.6811299621555418E-3</v>
      </c>
      <c r="Z32" s="49">
        <f t="shared" si="7"/>
        <v>9.5992940417612381E-3</v>
      </c>
    </row>
    <row r="33" spans="1:26" x14ac:dyDescent="0.15">
      <c r="A33" s="41"/>
      <c r="B33" s="47" t="s">
        <v>5</v>
      </c>
      <c r="C33" s="50">
        <v>0.67808708644185023</v>
      </c>
      <c r="D33" s="50">
        <v>0.5795560349608736</v>
      </c>
      <c r="E33" s="50">
        <v>0.67731762219427205</v>
      </c>
      <c r="F33" s="50">
        <v>0.63519224351508741</v>
      </c>
      <c r="G33" s="50">
        <v>0.61700308059298115</v>
      </c>
      <c r="H33" s="50">
        <f>'Central Valley'!E$16</f>
        <v>0.59680701404439418</v>
      </c>
      <c r="I33" s="50">
        <f>'Central Valley'!E$17</f>
        <v>0.60191719984659753</v>
      </c>
      <c r="J33" s="50">
        <f>'Central Valley'!E$18</f>
        <v>0.60390983235009132</v>
      </c>
      <c r="K33" s="50">
        <f>'Central Valley'!E$19</f>
        <v>0.59768518557293415</v>
      </c>
      <c r="L33" s="50">
        <f>'Central Valley'!E$20</f>
        <v>0.57803744824221748</v>
      </c>
      <c r="M33" s="50">
        <f>'Central Valley'!E$21</f>
        <v>0.58290690443175452</v>
      </c>
      <c r="O33" s="47" t="s">
        <v>5</v>
      </c>
      <c r="P33" s="50">
        <v>1.8784068584813962E-3</v>
      </c>
      <c r="Q33" s="50">
        <v>-0.14530737047066034</v>
      </c>
      <c r="R33" s="50">
        <v>0.16868358076885248</v>
      </c>
      <c r="S33" s="50">
        <v>-6.2194422969113261E-2</v>
      </c>
      <c r="T33" s="50">
        <v>-2.8635681729124007E-2</v>
      </c>
      <c r="U33" s="50">
        <f t="shared" ref="U33:U43" si="8">(H33-G33)/G33</f>
        <v>-3.2732521414929078E-2</v>
      </c>
      <c r="V33" s="50">
        <f t="shared" si="6"/>
        <v>8.5625431369732892E-3</v>
      </c>
      <c r="W33" s="50">
        <f t="shared" si="7"/>
        <v>3.3104760987086456E-3</v>
      </c>
      <c r="X33" s="50">
        <f t="shared" si="7"/>
        <v>-1.030724529344754E-2</v>
      </c>
      <c r="Y33" s="50">
        <f t="shared" si="7"/>
        <v>-3.2873053916975675E-2</v>
      </c>
      <c r="Z33" s="50">
        <f t="shared" si="7"/>
        <v>8.4241188946232049E-3</v>
      </c>
    </row>
    <row r="34" spans="1:26" x14ac:dyDescent="0.15">
      <c r="A34" s="41"/>
      <c r="B34" s="47" t="s">
        <v>6</v>
      </c>
      <c r="C34" s="50">
        <v>0.61544666904903211</v>
      </c>
      <c r="D34" s="50">
        <v>0.47609848286457668</v>
      </c>
      <c r="E34" s="50">
        <v>0.56905668100010076</v>
      </c>
      <c r="F34" s="50">
        <v>0.61546773263436805</v>
      </c>
      <c r="G34" s="50">
        <v>0.60701476630156281</v>
      </c>
      <c r="H34" s="50">
        <f>Deserts!E$16</f>
        <v>0.58322731203092992</v>
      </c>
      <c r="I34" s="50">
        <f>Deserts!E$17</f>
        <v>0.58226716989670013</v>
      </c>
      <c r="J34" s="50">
        <f>Deserts!E$18</f>
        <v>0.58285977311237958</v>
      </c>
      <c r="K34" s="50">
        <f>Deserts!E$19</f>
        <v>0.58471257159552714</v>
      </c>
      <c r="L34" s="50">
        <f>Deserts!E$20</f>
        <v>0.58844366126116943</v>
      </c>
      <c r="M34" s="50">
        <f>Deserts!E$21</f>
        <v>0.5953082359493127</v>
      </c>
      <c r="O34" s="47" t="s">
        <v>6</v>
      </c>
      <c r="P34" s="50">
        <v>-4.9751879159083412E-3</v>
      </c>
      <c r="Q34" s="50">
        <v>-0.22641797119443619</v>
      </c>
      <c r="R34" s="50">
        <v>0.19524993563561832</v>
      </c>
      <c r="S34" s="50">
        <v>8.1557871445602226E-2</v>
      </c>
      <c r="T34" s="50">
        <v>-1.373421527173202E-2</v>
      </c>
      <c r="U34" s="50">
        <f t="shared" si="8"/>
        <v>-3.9187603978014872E-2</v>
      </c>
      <c r="V34" s="50">
        <f t="shared" si="6"/>
        <v>-1.6462571529552658E-3</v>
      </c>
      <c r="W34" s="50">
        <f t="shared" si="7"/>
        <v>1.017751379980048E-3</v>
      </c>
      <c r="X34" s="50">
        <f t="shared" si="7"/>
        <v>3.1788065819912631E-3</v>
      </c>
      <c r="Y34" s="50">
        <f t="shared" si="7"/>
        <v>6.3810662655347395E-3</v>
      </c>
      <c r="Z34" s="50">
        <f t="shared" si="7"/>
        <v>1.1665644716829683E-2</v>
      </c>
    </row>
    <row r="35" spans="1:26" x14ac:dyDescent="0.15">
      <c r="A35" s="41"/>
      <c r="B35" s="47" t="s">
        <v>7</v>
      </c>
      <c r="C35" s="50">
        <v>0.76156913029903783</v>
      </c>
      <c r="D35" s="50">
        <v>0.54540201384535625</v>
      </c>
      <c r="E35" s="50">
        <v>0.67183992569999373</v>
      </c>
      <c r="F35" s="50">
        <v>0.66302147636565556</v>
      </c>
      <c r="G35" s="50">
        <v>0.64640899076325786</v>
      </c>
      <c r="H35" s="50">
        <f>'Gold Country'!E$16</f>
        <v>0.65193430739700664</v>
      </c>
      <c r="I35" s="50">
        <f>'Gold Country'!E$17</f>
        <v>0.65724397361130504</v>
      </c>
      <c r="J35" s="50">
        <f>'Gold Country'!E$18</f>
        <v>0.66112837380401479</v>
      </c>
      <c r="K35" s="50">
        <f>'Gold Country'!E$19</f>
        <v>0.6600685147619797</v>
      </c>
      <c r="L35" s="50">
        <f>'Gold Country'!E$20</f>
        <v>0.64684377399855097</v>
      </c>
      <c r="M35" s="50">
        <f>'Gold Country'!E$21</f>
        <v>0.65020011535096167</v>
      </c>
      <c r="O35" s="47" t="s">
        <v>7</v>
      </c>
      <c r="P35" s="50">
        <v>1.3695938836301602E-2</v>
      </c>
      <c r="Q35" s="50">
        <v>-0.28384437847264288</v>
      </c>
      <c r="R35" s="50">
        <v>0.23182516500661077</v>
      </c>
      <c r="S35" s="50">
        <v>-1.3125819108101067E-2</v>
      </c>
      <c r="T35" s="50">
        <v>-2.5055727747250067E-2</v>
      </c>
      <c r="U35" s="50">
        <f t="shared" si="8"/>
        <v>8.5477100608156321E-3</v>
      </c>
      <c r="V35" s="50">
        <f t="shared" si="6"/>
        <v>8.1444804392921608E-3</v>
      </c>
      <c r="W35" s="50">
        <f t="shared" si="7"/>
        <v>5.9101343620793492E-3</v>
      </c>
      <c r="X35" s="50">
        <f t="shared" si="7"/>
        <v>-1.6031062710814452E-3</v>
      </c>
      <c r="Y35" s="50">
        <f t="shared" si="7"/>
        <v>-2.0035406124768056E-2</v>
      </c>
      <c r="Z35" s="50">
        <f t="shared" si="7"/>
        <v>5.1887974922646702E-3</v>
      </c>
    </row>
    <row r="36" spans="1:26" x14ac:dyDescent="0.15">
      <c r="A36" s="41"/>
      <c r="B36" s="47" t="s">
        <v>8</v>
      </c>
      <c r="C36" s="50">
        <v>0.6310339483973807</v>
      </c>
      <c r="D36" s="50">
        <v>0.47785916706756543</v>
      </c>
      <c r="E36" s="50">
        <v>0.57669983720404905</v>
      </c>
      <c r="F36" s="50">
        <v>0.60128325442967001</v>
      </c>
      <c r="G36" s="50">
        <v>0.5911279930590525</v>
      </c>
      <c r="H36" s="50">
        <f>'High Siera'!E$16</f>
        <v>0.58369188864846822</v>
      </c>
      <c r="I36" s="50">
        <f>'High Siera'!E$17</f>
        <v>0.58898586163969679</v>
      </c>
      <c r="J36" s="50">
        <f>'High Siera'!E$18</f>
        <v>0.59874644144250611</v>
      </c>
      <c r="K36" s="50">
        <f>'High Siera'!E$19</f>
        <v>0.60056662603081934</v>
      </c>
      <c r="L36" s="50">
        <f>'High Siera'!E$20</f>
        <v>0.60619032688373375</v>
      </c>
      <c r="M36" s="50">
        <f>'High Siera'!E$21</f>
        <v>0.61513273484683517</v>
      </c>
      <c r="O36" s="47" t="s">
        <v>8</v>
      </c>
      <c r="P36" s="50">
        <v>4.2190296954733864E-3</v>
      </c>
      <c r="Q36" s="50">
        <v>-0.24273619782078126</v>
      </c>
      <c r="R36" s="50">
        <v>0.20684058598902699</v>
      </c>
      <c r="S36" s="50">
        <v>4.2627751283589754E-2</v>
      </c>
      <c r="T36" s="50">
        <v>-1.6889313473813616E-2</v>
      </c>
      <c r="U36" s="50">
        <f t="shared" si="8"/>
        <v>-1.2579516615518217E-2</v>
      </c>
      <c r="V36" s="50">
        <f t="shared" si="6"/>
        <v>9.0698073661546197E-3</v>
      </c>
      <c r="W36" s="50">
        <f t="shared" si="7"/>
        <v>1.657184057973228E-2</v>
      </c>
      <c r="X36" s="50">
        <f t="shared" si="7"/>
        <v>3.0399923278508784E-3</v>
      </c>
      <c r="Y36" s="50">
        <f t="shared" si="7"/>
        <v>9.3639916191843517E-3</v>
      </c>
      <c r="Z36" s="50">
        <f t="shared" si="7"/>
        <v>1.4751815669959636E-2</v>
      </c>
    </row>
    <row r="37" spans="1:26" x14ac:dyDescent="0.15">
      <c r="A37" s="41"/>
      <c r="B37" s="47" t="s">
        <v>9</v>
      </c>
      <c r="C37" s="50">
        <v>0.71436511370360301</v>
      </c>
      <c r="D37" s="50">
        <v>0.59986773510514813</v>
      </c>
      <c r="E37" s="50">
        <v>0.7270027157064427</v>
      </c>
      <c r="F37" s="50">
        <v>0.70103185620621267</v>
      </c>
      <c r="G37" s="50">
        <v>0.67169960130038531</v>
      </c>
      <c r="H37" s="50">
        <f>'Inland Empire'!E$16</f>
        <v>0.64844587612994986</v>
      </c>
      <c r="I37" s="50">
        <f>'Inland Empire'!E$17</f>
        <v>0.63696109105620291</v>
      </c>
      <c r="J37" s="50">
        <f>'Inland Empire'!E$18</f>
        <v>0.63577454182357784</v>
      </c>
      <c r="K37" s="50">
        <f>'Inland Empire'!E$19</f>
        <v>0.62910462206424111</v>
      </c>
      <c r="L37" s="50">
        <f>'Inland Empire'!E$20</f>
        <v>0.62442437909658266</v>
      </c>
      <c r="M37" s="50">
        <f>'Inland Empire'!E$21</f>
        <v>0.61625299489917074</v>
      </c>
      <c r="O37" s="47" t="s">
        <v>9</v>
      </c>
      <c r="P37" s="50">
        <v>-1.0285001740117483E-2</v>
      </c>
      <c r="Q37" s="50">
        <v>-0.16027851360888401</v>
      </c>
      <c r="R37" s="50">
        <v>0.21193835434241115</v>
      </c>
      <c r="S37" s="50">
        <v>-3.572319461694673E-2</v>
      </c>
      <c r="T37" s="50">
        <v>-4.1841543499271605E-2</v>
      </c>
      <c r="U37" s="50">
        <f t="shared" si="8"/>
        <v>-3.4619233248638387E-2</v>
      </c>
      <c r="V37" s="50">
        <f t="shared" si="6"/>
        <v>-1.7711246993026411E-2</v>
      </c>
      <c r="W37" s="50">
        <f t="shared" si="7"/>
        <v>-1.8628284353405986E-3</v>
      </c>
      <c r="X37" s="50">
        <f t="shared" si="7"/>
        <v>-1.0491014220553008E-2</v>
      </c>
      <c r="Y37" s="50">
        <f t="shared" si="7"/>
        <v>-7.439530411176236E-3</v>
      </c>
      <c r="Z37" s="50">
        <f t="shared" si="7"/>
        <v>-1.3086267082067303E-2</v>
      </c>
    </row>
    <row r="38" spans="1:26" x14ac:dyDescent="0.15">
      <c r="A38" s="41"/>
      <c r="B38" s="47" t="s">
        <v>10</v>
      </c>
      <c r="C38" s="50">
        <v>0.79195076407228937</v>
      </c>
      <c r="D38" s="50">
        <v>0.49397070135088367</v>
      </c>
      <c r="E38" s="50">
        <v>0.63792685071280786</v>
      </c>
      <c r="F38" s="50">
        <v>0.70605667261428207</v>
      </c>
      <c r="G38" s="50">
        <v>0.71689906760045519</v>
      </c>
      <c r="H38" s="50">
        <f>'Los Angeles'!E$16</f>
        <v>0.72171879537252681</v>
      </c>
      <c r="I38" s="50">
        <f>'Los Angeles'!E$17</f>
        <v>0.71968275167558537</v>
      </c>
      <c r="J38" s="50">
        <f>'Los Angeles'!E$18</f>
        <v>0.73743336872995713</v>
      </c>
      <c r="K38" s="50">
        <f>'Los Angeles'!E$19</f>
        <v>0.73951922159823991</v>
      </c>
      <c r="L38" s="50">
        <f>'Los Angeles'!E$20</f>
        <v>0.74207606207894572</v>
      </c>
      <c r="M38" s="50">
        <f>'Los Angeles'!E$21</f>
        <v>0.74984103241554545</v>
      </c>
      <c r="O38" s="47" t="s">
        <v>10</v>
      </c>
      <c r="P38" s="50">
        <v>-6.4619419342404338E-3</v>
      </c>
      <c r="Q38" s="50">
        <v>-0.37626084377917979</v>
      </c>
      <c r="R38" s="50">
        <v>0.29142649345040272</v>
      </c>
      <c r="S38" s="50">
        <v>0.10679879961996774</v>
      </c>
      <c r="T38" s="50">
        <v>1.5356267289462044E-2</v>
      </c>
      <c r="U38" s="50">
        <f t="shared" si="8"/>
        <v>6.7230213985405443E-3</v>
      </c>
      <c r="V38" s="50">
        <f t="shared" si="6"/>
        <v>-2.8211038842219697E-3</v>
      </c>
      <c r="W38" s="50">
        <f t="shared" si="7"/>
        <v>2.4664502536769533E-2</v>
      </c>
      <c r="X38" s="50">
        <f t="shared" si="7"/>
        <v>2.8285306262654394E-3</v>
      </c>
      <c r="Y38" s="50">
        <f t="shared" si="7"/>
        <v>3.4574361369269085E-3</v>
      </c>
      <c r="Z38" s="50">
        <f t="shared" si="7"/>
        <v>1.0463846946963846E-2</v>
      </c>
    </row>
    <row r="39" spans="1:26" x14ac:dyDescent="0.15">
      <c r="A39" s="41"/>
      <c r="B39" s="47" t="s">
        <v>11</v>
      </c>
      <c r="C39" s="50">
        <v>0.65680790476522166</v>
      </c>
      <c r="D39" s="50">
        <v>0.56770473387444775</v>
      </c>
      <c r="E39" s="50">
        <v>0.67695052160414715</v>
      </c>
      <c r="F39" s="50">
        <v>0.59764555802162278</v>
      </c>
      <c r="G39" s="50">
        <v>0.54369206495819411</v>
      </c>
      <c r="H39" s="50">
        <f>'North Coast'!E$16</f>
        <v>0.55088524270351813</v>
      </c>
      <c r="I39" s="50">
        <f>'North Coast'!E$17</f>
        <v>0.54522180052864377</v>
      </c>
      <c r="J39" s="50">
        <f>'North Coast'!E$18</f>
        <v>0.57188471351770687</v>
      </c>
      <c r="K39" s="50">
        <f>'North Coast'!E$19</f>
        <v>0.57709937495951757</v>
      </c>
      <c r="L39" s="50">
        <f>'North Coast'!E$20</f>
        <v>0.58299743695287243</v>
      </c>
      <c r="M39" s="50">
        <f>'North Coast'!E$21</f>
        <v>0.58875805702199369</v>
      </c>
      <c r="O39" s="47" t="s">
        <v>11</v>
      </c>
      <c r="P39" s="50">
        <v>1.0754252904576767E-3</v>
      </c>
      <c r="Q39" s="50">
        <v>-0.13566092954168107</v>
      </c>
      <c r="R39" s="50">
        <v>0.19243416728996299</v>
      </c>
      <c r="S39" s="50">
        <v>-0.11715031018012667</v>
      </c>
      <c r="T39" s="50">
        <v>-9.0276740685616641E-2</v>
      </c>
      <c r="U39" s="50">
        <f t="shared" si="8"/>
        <v>1.3230242280392894E-2</v>
      </c>
      <c r="V39" s="50">
        <f t="shared" si="6"/>
        <v>-1.028062060090866E-2</v>
      </c>
      <c r="W39" s="50">
        <f t="shared" si="7"/>
        <v>4.8902873955536795E-2</v>
      </c>
      <c r="X39" s="50">
        <f t="shared" si="7"/>
        <v>9.1183787895551972E-3</v>
      </c>
      <c r="Y39" s="50">
        <f t="shared" si="7"/>
        <v>1.022018433786831E-2</v>
      </c>
      <c r="Z39" s="50">
        <f t="shared" si="7"/>
        <v>9.8810384128445623E-3</v>
      </c>
    </row>
    <row r="40" spans="1:26" x14ac:dyDescent="0.15">
      <c r="B40" s="47" t="s">
        <v>12</v>
      </c>
      <c r="C40" s="50">
        <v>0.77452794893113841</v>
      </c>
      <c r="D40" s="50">
        <v>0.44544449175966633</v>
      </c>
      <c r="E40" s="50">
        <v>0.5793021365756934</v>
      </c>
      <c r="F40" s="50">
        <v>0.70660747293877824</v>
      </c>
      <c r="G40" s="50">
        <v>0.71691207049035266</v>
      </c>
      <c r="H40" s="50">
        <f>'Orange County'!E$16</f>
        <v>0.71785078639866229</v>
      </c>
      <c r="I40" s="50">
        <f>'Orange County'!E$17</f>
        <v>0.727825481180294</v>
      </c>
      <c r="J40" s="50">
        <f>'Orange County'!E$18</f>
        <v>0.75040344943526183</v>
      </c>
      <c r="K40" s="50">
        <f>'Orange County'!E$19</f>
        <v>0.7546946620309285</v>
      </c>
      <c r="L40" s="50">
        <f>'Orange County'!E$20</f>
        <v>0.75974875015098897</v>
      </c>
      <c r="M40" s="50">
        <f>'Orange County'!E$21</f>
        <v>0.76343524439733812</v>
      </c>
      <c r="O40" s="47" t="s">
        <v>12</v>
      </c>
      <c r="P40" s="50">
        <v>-1.3473249216067185E-3</v>
      </c>
      <c r="Q40" s="50">
        <v>-0.42488261091883484</v>
      </c>
      <c r="R40" s="50">
        <v>0.30050353588893008</v>
      </c>
      <c r="S40" s="50">
        <v>0.21975637292760219</v>
      </c>
      <c r="T40" s="50">
        <v>1.4583199224765586E-2</v>
      </c>
      <c r="U40" s="50">
        <f t="shared" si="8"/>
        <v>1.3093877854052126E-3</v>
      </c>
      <c r="V40" s="50">
        <f t="shared" si="6"/>
        <v>1.3895220247195229E-2</v>
      </c>
      <c r="W40" s="50">
        <f t="shared" si="7"/>
        <v>3.1021129156338104E-2</v>
      </c>
      <c r="X40" s="50">
        <f t="shared" si="7"/>
        <v>5.7185406049187933E-3</v>
      </c>
      <c r="Y40" s="50">
        <f t="shared" si="7"/>
        <v>6.6968648041840131E-3</v>
      </c>
      <c r="Z40" s="50">
        <f t="shared" si="7"/>
        <v>4.8522544401902751E-3</v>
      </c>
    </row>
    <row r="41" spans="1:26" x14ac:dyDescent="0.15">
      <c r="B41" s="47" t="s">
        <v>13</v>
      </c>
      <c r="C41" s="50">
        <v>0.70351845032203275</v>
      </c>
      <c r="D41" s="50">
        <v>0.57211118365465508</v>
      </c>
      <c r="E41" s="50">
        <v>0.68981021380197793</v>
      </c>
      <c r="F41" s="50">
        <v>0.60182427915734715</v>
      </c>
      <c r="G41" s="50">
        <v>0.54995142209417858</v>
      </c>
      <c r="H41" s="50">
        <f>'Shasta Cascade'!E$16</f>
        <v>0.55341655284003843</v>
      </c>
      <c r="I41" s="50">
        <f>'Shasta Cascade'!E$17</f>
        <v>0.54446694806007911</v>
      </c>
      <c r="J41" s="50">
        <f>'Shasta Cascade'!E$18</f>
        <v>0.55569348174288657</v>
      </c>
      <c r="K41" s="50">
        <f>'Shasta Cascade'!E$19</f>
        <v>0.55317674607830314</v>
      </c>
      <c r="L41" s="50">
        <f>'Shasta Cascade'!E$20</f>
        <v>0.55247873340824427</v>
      </c>
      <c r="M41" s="50">
        <f>'Shasta Cascade'!E$21</f>
        <v>0.54969836741660383</v>
      </c>
      <c r="O41" s="47" t="s">
        <v>13</v>
      </c>
      <c r="P41" s="50">
        <v>5.1985791206154541E-2</v>
      </c>
      <c r="Q41" s="50">
        <v>-0.18678581436951158</v>
      </c>
      <c r="R41" s="50">
        <v>0.20572754651545111</v>
      </c>
      <c r="S41" s="50">
        <v>-0.12755093050838573</v>
      </c>
      <c r="T41" s="50">
        <v>-8.6192695874282577E-2</v>
      </c>
      <c r="U41" s="50">
        <f t="shared" si="8"/>
        <v>6.3007942277244567E-3</v>
      </c>
      <c r="V41" s="50">
        <f t="shared" si="6"/>
        <v>-1.6171552393999582E-2</v>
      </c>
      <c r="W41" s="50">
        <f t="shared" si="7"/>
        <v>2.0619311645651391E-2</v>
      </c>
      <c r="X41" s="50">
        <f t="shared" si="7"/>
        <v>-4.5289997944368597E-3</v>
      </c>
      <c r="Y41" s="50">
        <f t="shared" si="7"/>
        <v>-1.2618257636593827E-3</v>
      </c>
      <c r="Z41" s="50">
        <f t="shared" si="7"/>
        <v>-5.0325303464413022E-3</v>
      </c>
    </row>
    <row r="42" spans="1:26" x14ac:dyDescent="0.15">
      <c r="B42" s="47" t="s">
        <v>14</v>
      </c>
      <c r="C42" s="50">
        <v>0.78314490508100176</v>
      </c>
      <c r="D42" s="50">
        <v>0.48791445075200157</v>
      </c>
      <c r="E42" s="50">
        <v>0.61557433681382001</v>
      </c>
      <c r="F42" s="50">
        <v>0.72572802284965288</v>
      </c>
      <c r="G42" s="50">
        <v>0.73554048802809435</v>
      </c>
      <c r="H42" s="50">
        <f>'San Diego'!E$16</f>
        <v>0.74454642865363674</v>
      </c>
      <c r="I42" s="50">
        <f>'San Diego'!E$17</f>
        <v>0.72439537891447181</v>
      </c>
      <c r="J42" s="50">
        <f>'San Diego'!E$18</f>
        <v>0.73606180476575034</v>
      </c>
      <c r="K42" s="50">
        <f>'San Diego'!E$19</f>
        <v>0.73803186824310762</v>
      </c>
      <c r="L42" s="50">
        <f>'San Diego'!E$20</f>
        <v>0.74099072121970933</v>
      </c>
      <c r="M42" s="50">
        <f>'San Diego'!E$21</f>
        <v>0.75566159083812601</v>
      </c>
      <c r="O42" s="47" t="s">
        <v>14</v>
      </c>
      <c r="P42" s="50">
        <v>-7.544588043952305E-3</v>
      </c>
      <c r="Q42" s="50">
        <v>-0.37698062314338121</v>
      </c>
      <c r="R42" s="50">
        <v>0.26164399489513324</v>
      </c>
      <c r="S42" s="50">
        <v>0.17894457167591238</v>
      </c>
      <c r="T42" s="50">
        <v>1.3520857496878369E-2</v>
      </c>
      <c r="U42" s="50">
        <f t="shared" si="8"/>
        <v>1.2243976738366032E-2</v>
      </c>
      <c r="V42" s="50">
        <f t="shared" si="6"/>
        <v>-2.7064866559905566E-2</v>
      </c>
      <c r="W42" s="50">
        <f t="shared" si="7"/>
        <v>1.6105052835595136E-2</v>
      </c>
      <c r="X42" s="50">
        <f t="shared" si="7"/>
        <v>2.6764919258162757E-3</v>
      </c>
      <c r="Y42" s="50">
        <f t="shared" si="7"/>
        <v>4.009112755043058E-3</v>
      </c>
      <c r="Z42" s="50">
        <f t="shared" si="7"/>
        <v>1.9798992346716119E-2</v>
      </c>
    </row>
    <row r="43" spans="1:26" x14ac:dyDescent="0.15">
      <c r="B43" s="47" t="s">
        <v>15</v>
      </c>
      <c r="C43" s="50">
        <v>0.78911829655695875</v>
      </c>
      <c r="D43" s="50">
        <v>0.4396103118119204</v>
      </c>
      <c r="E43" s="50">
        <v>0.52117002878409102</v>
      </c>
      <c r="F43" s="50">
        <v>0.63942421923379245</v>
      </c>
      <c r="G43" s="50">
        <v>0.64148697831709089</v>
      </c>
      <c r="H43" s="50">
        <f>'San Francisco Bay Area'!E$16</f>
        <v>0.64757076812113246</v>
      </c>
      <c r="I43" s="50">
        <f>'San Francisco Bay Area'!E$17</f>
        <v>0.66555235195566542</v>
      </c>
      <c r="J43" s="50">
        <f>'San Francisco Bay Area'!E$18</f>
        <v>0.68605531244397966</v>
      </c>
      <c r="K43" s="50">
        <f>'San Francisco Bay Area'!E$19</f>
        <v>0.67742945648297526</v>
      </c>
      <c r="L43" s="50">
        <f>'San Francisco Bay Area'!E$20</f>
        <v>0.6819863197227195</v>
      </c>
      <c r="M43" s="50">
        <f>'San Francisco Bay Area'!E$21</f>
        <v>0.69044228156970855</v>
      </c>
      <c r="O43" s="47" t="s">
        <v>15</v>
      </c>
      <c r="P43" s="50">
        <v>-1.2846862234492384E-3</v>
      </c>
      <c r="Q43" s="50">
        <v>-0.44290949312668837</v>
      </c>
      <c r="R43" s="50">
        <v>0.18552730630000447</v>
      </c>
      <c r="S43" s="50">
        <v>0.22690136408187711</v>
      </c>
      <c r="T43" s="50">
        <v>3.2259633295876888E-3</v>
      </c>
      <c r="U43" s="50">
        <f t="shared" si="8"/>
        <v>9.4838866721848047E-3</v>
      </c>
      <c r="V43" s="50">
        <f t="shared" si="6"/>
        <v>2.7767750985278245E-2</v>
      </c>
      <c r="W43" s="50">
        <f t="shared" si="7"/>
        <v>3.0805931987270635E-2</v>
      </c>
      <c r="X43" s="50">
        <f t="shared" si="7"/>
        <v>-1.2573120278415967E-2</v>
      </c>
      <c r="Y43" s="50">
        <f t="shared" si="7"/>
        <v>6.7266978076244415E-3</v>
      </c>
      <c r="Z43" s="50">
        <f t="shared" si="7"/>
        <v>1.2399019749292115E-2</v>
      </c>
    </row>
    <row r="44" spans="1:26" x14ac:dyDescent="0.15">
      <c r="B44" s="47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O44" s="47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8" x14ac:dyDescent="0.15">
      <c r="A45" s="41"/>
      <c r="B45" s="36" t="s">
        <v>18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O45" s="36" t="s">
        <v>18</v>
      </c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x14ac:dyDescent="0.15">
      <c r="A46" s="35"/>
      <c r="B46" s="39" t="s">
        <v>2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O46" s="39" t="s">
        <v>3</v>
      </c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x14ac:dyDescent="0.15">
      <c r="A47" s="41"/>
      <c r="B47" s="39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x14ac:dyDescent="0.15">
      <c r="A48" s="38"/>
      <c r="B48" s="39"/>
      <c r="C48" s="40">
        <v>2019</v>
      </c>
      <c r="D48" s="40">
        <v>2020</v>
      </c>
      <c r="E48" s="40">
        <v>2021</v>
      </c>
      <c r="F48" s="40">
        <v>2022</v>
      </c>
      <c r="G48" s="40">
        <v>2023</v>
      </c>
      <c r="H48" s="40">
        <v>2024</v>
      </c>
      <c r="I48" s="40">
        <v>2025</v>
      </c>
      <c r="J48" s="40">
        <v>2026</v>
      </c>
      <c r="K48" s="40">
        <v>2027</v>
      </c>
      <c r="L48" s="40">
        <v>2028</v>
      </c>
      <c r="M48" s="40">
        <v>2029</v>
      </c>
      <c r="O48" s="39"/>
      <c r="P48" s="40">
        <v>2019</v>
      </c>
      <c r="Q48" s="40">
        <v>2020</v>
      </c>
      <c r="R48" s="40">
        <v>2021</v>
      </c>
      <c r="S48" s="40">
        <v>2022</v>
      </c>
      <c r="T48" s="40">
        <v>2023</v>
      </c>
      <c r="U48" s="40">
        <v>2024</v>
      </c>
      <c r="V48" s="40">
        <v>2025</v>
      </c>
      <c r="W48" s="40">
        <v>2026</v>
      </c>
      <c r="X48" s="40">
        <v>2027</v>
      </c>
      <c r="Y48" s="40">
        <v>2028</v>
      </c>
      <c r="Z48" s="40">
        <v>2029</v>
      </c>
    </row>
    <row r="49" spans="1:26" x14ac:dyDescent="0.15">
      <c r="A49" s="51"/>
      <c r="B49" s="52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O49" s="52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7" x14ac:dyDescent="0.15">
      <c r="B50" s="43" t="s">
        <v>16</v>
      </c>
      <c r="C50" s="55">
        <v>24965538143.301872</v>
      </c>
      <c r="D50" s="55">
        <v>11977244591.926563</v>
      </c>
      <c r="E50" s="55">
        <v>18497851101.715229</v>
      </c>
      <c r="F50" s="55">
        <v>25640100393.231106</v>
      </c>
      <c r="G50" s="55">
        <v>26684445097.525112</v>
      </c>
      <c r="H50" s="55">
        <f>California!H$16</f>
        <v>26310310333.501755</v>
      </c>
      <c r="I50" s="55">
        <f>California!H$17</f>
        <v>26850094577.2677</v>
      </c>
      <c r="J50" s="55">
        <f>California!H$18</f>
        <v>28245981856.397938</v>
      </c>
      <c r="K50" s="55">
        <f>California!H$19</f>
        <v>28753890838.736225</v>
      </c>
      <c r="L50" s="55">
        <f>California!H$20</f>
        <v>29734163465.565865</v>
      </c>
      <c r="M50" s="55">
        <f>California!H$21</f>
        <v>30800902829.219669</v>
      </c>
      <c r="O50" s="43" t="s">
        <v>16</v>
      </c>
      <c r="P50" s="45">
        <v>2.9295271393866118E-2</v>
      </c>
      <c r="Q50" s="45">
        <v>-0.52024889176522726</v>
      </c>
      <c r="R50" s="45">
        <v>0.54441624363119212</v>
      </c>
      <c r="S50" s="45">
        <v>0.38611237879699467</v>
      </c>
      <c r="T50" s="45">
        <v>4.0730913228784082E-2</v>
      </c>
      <c r="U50" s="45">
        <f>(H50-G50)/G50</f>
        <v>-1.4020706170054744E-2</v>
      </c>
      <c r="V50" s="45">
        <f>(I50-H50)/H50</f>
        <v>2.0516072859795235E-2</v>
      </c>
      <c r="W50" s="45">
        <f>(J50-I50)/I50</f>
        <v>5.1988169915499968E-2</v>
      </c>
      <c r="X50" s="45">
        <f>(K50-J50)/J50</f>
        <v>1.7981636642000531E-2</v>
      </c>
      <c r="Y50" s="45">
        <f>(L50-K50)/K50</f>
        <v>3.4091825427293158E-2</v>
      </c>
      <c r="Z50" s="45">
        <f>(M50-L50)/L50</f>
        <v>3.5875882800239525E-2</v>
      </c>
    </row>
    <row r="51" spans="1:26" x14ac:dyDescent="0.15">
      <c r="A51" s="35"/>
      <c r="B51" s="54" t="s">
        <v>42</v>
      </c>
      <c r="C51" s="56">
        <f>C59+C61+C63+C64</f>
        <v>18896874450.674805</v>
      </c>
      <c r="D51" s="56">
        <f t="shared" ref="D51:M51" si="9">D59+D61+D63+D64</f>
        <v>7714706050.8261433</v>
      </c>
      <c r="E51" s="56">
        <f t="shared" si="9"/>
        <v>11797105239.208614</v>
      </c>
      <c r="F51" s="56">
        <f t="shared" si="9"/>
        <v>18001072083.945019</v>
      </c>
      <c r="G51" s="56">
        <f t="shared" si="9"/>
        <v>19224103661.593018</v>
      </c>
      <c r="H51" s="56">
        <f t="shared" si="9"/>
        <v>18877024015.405407</v>
      </c>
      <c r="I51" s="56">
        <f t="shared" si="9"/>
        <v>19281948536.611774</v>
      </c>
      <c r="J51" s="56">
        <f t="shared" si="9"/>
        <v>20385330897.689499</v>
      </c>
      <c r="K51" s="56">
        <f t="shared" si="9"/>
        <v>20704594667.859032</v>
      </c>
      <c r="L51" s="56">
        <f t="shared" si="9"/>
        <v>21418619532.190613</v>
      </c>
      <c r="M51" s="56">
        <f t="shared" si="9"/>
        <v>22207178226.477982</v>
      </c>
      <c r="O51" s="30" t="s">
        <v>42</v>
      </c>
      <c r="P51" s="46">
        <v>2.4628538459696703E-2</v>
      </c>
      <c r="Q51" s="46">
        <v>-0.59174698064680997</v>
      </c>
      <c r="R51" s="46">
        <v>0.52917106128046187</v>
      </c>
      <c r="S51" s="46">
        <v>0.52588891248651648</v>
      </c>
      <c r="T51" s="46">
        <v>6.7942152108751763E-2</v>
      </c>
      <c r="U51" s="46">
        <v>-1.8054399429869195E-2</v>
      </c>
      <c r="V51" s="46">
        <v>2.1450654556349091E-2</v>
      </c>
      <c r="W51" s="46">
        <v>5.7223592262092504E-2</v>
      </c>
      <c r="X51" s="46">
        <v>1.5661446545649049E-2</v>
      </c>
      <c r="Y51" s="46">
        <v>3.4486300059764163E-2</v>
      </c>
      <c r="Z51" s="46">
        <v>3.6816504121669702E-2</v>
      </c>
    </row>
    <row r="52" spans="1:26" x14ac:dyDescent="0.15">
      <c r="A52" s="35"/>
      <c r="B52" s="54" t="s">
        <v>43</v>
      </c>
      <c r="C52" s="56">
        <f>C53+C54+C55+C56+C57+C58+C60+C62</f>
        <v>6069313478.9647703</v>
      </c>
      <c r="D52" s="56">
        <f t="shared" ref="D52:M52" si="10">D53+D54+D55+D56+D57+D58+D60+D62</f>
        <v>4263341817.0660605</v>
      </c>
      <c r="E52" s="56">
        <f t="shared" si="10"/>
        <v>6698579538.9847078</v>
      </c>
      <c r="F52" s="56">
        <f t="shared" si="10"/>
        <v>7639602842.6169758</v>
      </c>
      <c r="G52" s="56">
        <f t="shared" si="10"/>
        <v>7459004666.0769157</v>
      </c>
      <c r="H52" s="56">
        <f t="shared" si="10"/>
        <v>7433286318.0963488</v>
      </c>
      <c r="I52" s="56">
        <f t="shared" si="10"/>
        <v>7568146040.6559315</v>
      </c>
      <c r="J52" s="56">
        <f t="shared" si="10"/>
        <v>7860650958.7084351</v>
      </c>
      <c r="K52" s="56">
        <f t="shared" si="10"/>
        <v>8049296170.8771906</v>
      </c>
      <c r="L52" s="56">
        <f t="shared" si="10"/>
        <v>8315543933.3752556</v>
      </c>
      <c r="M52" s="56">
        <f t="shared" si="10"/>
        <v>8593724602.7416878</v>
      </c>
      <c r="O52" s="30" t="s">
        <v>43</v>
      </c>
      <c r="P52" s="46">
        <v>4.4102941354457581E-2</v>
      </c>
      <c r="Q52" s="46">
        <v>-0.29761496813885779</v>
      </c>
      <c r="R52" s="46">
        <v>0.5720082757953775</v>
      </c>
      <c r="S52" s="46">
        <v>0.14002656809140346</v>
      </c>
      <c r="T52" s="46">
        <v>-2.339130922407795E-2</v>
      </c>
      <c r="U52" s="46">
        <v>-3.6265254168440508E-3</v>
      </c>
      <c r="V52" s="46">
        <v>1.8142678324022166E-2</v>
      </c>
      <c r="W52" s="46">
        <v>3.8649481191454615E-2</v>
      </c>
      <c r="X52" s="46">
        <v>2.3998675575304995E-2</v>
      </c>
      <c r="Y52" s="46">
        <v>3.3077148218419117E-2</v>
      </c>
      <c r="Z52" s="46">
        <v>3.3453093579354443E-2</v>
      </c>
    </row>
    <row r="53" spans="1:26" x14ac:dyDescent="0.15">
      <c r="B53" s="57" t="s">
        <v>4</v>
      </c>
      <c r="C53" s="58">
        <v>1933112078.942796</v>
      </c>
      <c r="D53" s="58">
        <v>1230355184.3410182</v>
      </c>
      <c r="E53" s="58">
        <v>2169743422.4273262</v>
      </c>
      <c r="F53" s="58">
        <v>2473827853.5866861</v>
      </c>
      <c r="G53" s="58">
        <v>2314105950.0608201</v>
      </c>
      <c r="H53" s="58">
        <f>'Central Coast'!H$16</f>
        <v>2369134260.1854053</v>
      </c>
      <c r="I53" s="58">
        <f>'Central Coast'!H$17</f>
        <v>2419960384.0032592</v>
      </c>
      <c r="J53" s="58">
        <f>'Central Coast'!H$18</f>
        <v>2561315687.0986061</v>
      </c>
      <c r="K53" s="58">
        <f>'Central Coast'!H$19</f>
        <v>2620816938.4147038</v>
      </c>
      <c r="L53" s="58">
        <f>'Central Coast'!H$20</f>
        <v>2705757223.7163377</v>
      </c>
      <c r="M53" s="58">
        <f>'Central Coast'!H$21</f>
        <v>2797712967.9977279</v>
      </c>
      <c r="O53" s="57" t="s">
        <v>4</v>
      </c>
      <c r="P53" s="49">
        <v>2.6924015831232939E-2</v>
      </c>
      <c r="Q53" s="49">
        <v>-0.36353654930660317</v>
      </c>
      <c r="R53" s="49">
        <v>0.76350979785520012</v>
      </c>
      <c r="S53" s="49">
        <v>0.14014764511611055</v>
      </c>
      <c r="T53" s="49">
        <v>-6.4564679912667677E-2</v>
      </c>
      <c r="U53" s="49">
        <f>(H53-G53)/G53</f>
        <v>2.3779511963632816E-2</v>
      </c>
      <c r="V53" s="49">
        <f t="shared" ref="V53:V64" si="11">(I53-H53)/H53</f>
        <v>2.1453458620735298E-2</v>
      </c>
      <c r="W53" s="49">
        <f t="shared" ref="W53:Z64" si="12">(J53-I53)/I53</f>
        <v>5.8412238493552357E-2</v>
      </c>
      <c r="X53" s="49">
        <f t="shared" si="12"/>
        <v>2.3230737083994226E-2</v>
      </c>
      <c r="Y53" s="49">
        <f t="shared" si="12"/>
        <v>3.2409850553321379E-2</v>
      </c>
      <c r="Z53" s="49">
        <f t="shared" si="12"/>
        <v>3.3985216217990784E-2</v>
      </c>
    </row>
    <row r="54" spans="1:26" x14ac:dyDescent="0.15">
      <c r="A54" s="41"/>
      <c r="B54" s="47" t="s">
        <v>5</v>
      </c>
      <c r="C54" s="58">
        <v>921188304.04577303</v>
      </c>
      <c r="D54" s="58">
        <v>782551852.70906711</v>
      </c>
      <c r="E54" s="58">
        <v>1094216937.154979</v>
      </c>
      <c r="F54" s="58">
        <v>1147926681.2042685</v>
      </c>
      <c r="G54" s="58">
        <v>1143876056.0241458</v>
      </c>
      <c r="H54" s="58">
        <f>'Central Valley'!H$16</f>
        <v>1124708448.4182854</v>
      </c>
      <c r="I54" s="58">
        <f>'Central Valley'!H$17</f>
        <v>1124452471.1299248</v>
      </c>
      <c r="J54" s="58">
        <f>'Central Valley'!H$18</f>
        <v>1155873755.5350542</v>
      </c>
      <c r="K54" s="58">
        <f>'Central Valley'!H$19</f>
        <v>1181655128.4962041</v>
      </c>
      <c r="L54" s="58">
        <f>'Central Valley'!H$20</f>
        <v>1216937517.1749613</v>
      </c>
      <c r="M54" s="58">
        <f>'Central Valley'!H$21</f>
        <v>1256492168.8885536</v>
      </c>
      <c r="O54" s="47" t="s">
        <v>5</v>
      </c>
      <c r="P54" s="50">
        <v>2.8552283865985517E-2</v>
      </c>
      <c r="Q54" s="50">
        <v>-0.15049740723783356</v>
      </c>
      <c r="R54" s="50">
        <v>0.3982676462485879</v>
      </c>
      <c r="S54" s="50">
        <v>4.9085096588741939E-2</v>
      </c>
      <c r="T54" s="50">
        <v>-3.5286445087877594E-3</v>
      </c>
      <c r="U54" s="50">
        <f t="shared" ref="U54:U64" si="13">(H54-G54)/G54</f>
        <v>-1.6756717220292847E-2</v>
      </c>
      <c r="V54" s="50">
        <f t="shared" si="11"/>
        <v>-2.275943500918705E-4</v>
      </c>
      <c r="W54" s="50">
        <f t="shared" si="12"/>
        <v>2.7943630532960839E-2</v>
      </c>
      <c r="X54" s="50">
        <f t="shared" si="12"/>
        <v>2.2304661592749572E-2</v>
      </c>
      <c r="Y54" s="50">
        <f t="shared" si="12"/>
        <v>2.9858448398271838E-2</v>
      </c>
      <c r="Z54" s="50">
        <f t="shared" si="12"/>
        <v>3.2503436828388493E-2</v>
      </c>
    </row>
    <row r="55" spans="1:26" x14ac:dyDescent="0.15">
      <c r="A55" s="41"/>
      <c r="B55" s="47" t="s">
        <v>6</v>
      </c>
      <c r="C55" s="58">
        <v>796793076.53311181</v>
      </c>
      <c r="D55" s="58">
        <v>491982616.64838105</v>
      </c>
      <c r="E55" s="58">
        <v>816521071.54194689</v>
      </c>
      <c r="F55" s="58">
        <v>1087863613.0374541</v>
      </c>
      <c r="G55" s="58">
        <v>1113023663.2933161</v>
      </c>
      <c r="H55" s="58">
        <f>Deserts!H$16</f>
        <v>1064661285.8593024</v>
      </c>
      <c r="I55" s="58">
        <f>Deserts!H$17</f>
        <v>1089657177.9433277</v>
      </c>
      <c r="J55" s="58">
        <f>Deserts!H$18</f>
        <v>1129213193.3460987</v>
      </c>
      <c r="K55" s="58">
        <f>Deserts!H$19</f>
        <v>1159541475.7576973</v>
      </c>
      <c r="L55" s="58">
        <f>Deserts!H$20</f>
        <v>1200140211.4773116</v>
      </c>
      <c r="M55" s="58">
        <f>Deserts!H$21</f>
        <v>1242634824.0093668</v>
      </c>
      <c r="O55" s="47" t="s">
        <v>6</v>
      </c>
      <c r="P55" s="50">
        <v>4.2082787042834413E-2</v>
      </c>
      <c r="Q55" s="50">
        <v>-0.38254657182888308</v>
      </c>
      <c r="R55" s="50">
        <v>0.65965431279762621</v>
      </c>
      <c r="S55" s="50">
        <v>0.33231541836770306</v>
      </c>
      <c r="T55" s="50">
        <v>2.3127945410005735E-2</v>
      </c>
      <c r="U55" s="50">
        <f t="shared" si="13"/>
        <v>-4.3451347018907668E-2</v>
      </c>
      <c r="V55" s="50">
        <f t="shared" si="11"/>
        <v>2.3477788115354212E-2</v>
      </c>
      <c r="W55" s="50">
        <f t="shared" si="12"/>
        <v>3.630133972726262E-2</v>
      </c>
      <c r="X55" s="50">
        <f t="shared" si="12"/>
        <v>2.6857888829415408E-2</v>
      </c>
      <c r="Y55" s="50">
        <f t="shared" si="12"/>
        <v>3.5012749926073318E-2</v>
      </c>
      <c r="Z55" s="50">
        <f t="shared" si="12"/>
        <v>3.5408039932056296E-2</v>
      </c>
    </row>
    <row r="56" spans="1:26" x14ac:dyDescent="0.15">
      <c r="A56" s="41"/>
      <c r="B56" s="47" t="s">
        <v>7</v>
      </c>
      <c r="C56" s="58">
        <v>694631368.74919701</v>
      </c>
      <c r="D56" s="58">
        <v>430227556.88048536</v>
      </c>
      <c r="E56" s="58">
        <v>622190048.75154722</v>
      </c>
      <c r="F56" s="58">
        <v>728952941.6644814</v>
      </c>
      <c r="G56" s="58">
        <v>757047570.22111094</v>
      </c>
      <c r="H56" s="58">
        <f>'Gold Country'!H$16</f>
        <v>763077648.42159295</v>
      </c>
      <c r="I56" s="58">
        <f>'Gold Country'!H$17</f>
        <v>791785716.26066732</v>
      </c>
      <c r="J56" s="58">
        <f>'Gold Country'!H$18</f>
        <v>808068504.37168121</v>
      </c>
      <c r="K56" s="58">
        <f>'Gold Country'!H$19</f>
        <v>831151494.35787332</v>
      </c>
      <c r="L56" s="58">
        <f>'Gold Country'!H$20</f>
        <v>862023342.44041359</v>
      </c>
      <c r="M56" s="58">
        <f>'Gold Country'!H$21</f>
        <v>891448705.55200052</v>
      </c>
      <c r="O56" s="47" t="s">
        <v>7</v>
      </c>
      <c r="P56" s="50">
        <v>1.2282939987215302E-2</v>
      </c>
      <c r="Q56" s="50">
        <v>-0.38063903210247485</v>
      </c>
      <c r="R56" s="50">
        <v>0.44618827595087751</v>
      </c>
      <c r="S56" s="50">
        <v>0.17159209332768777</v>
      </c>
      <c r="T56" s="50">
        <v>3.8541073025206041E-2</v>
      </c>
      <c r="U56" s="50">
        <f t="shared" si="13"/>
        <v>7.9652566597906201E-3</v>
      </c>
      <c r="V56" s="50">
        <f t="shared" si="11"/>
        <v>3.7621424108616332E-2</v>
      </c>
      <c r="W56" s="50">
        <f t="shared" si="12"/>
        <v>2.0564639872403759E-2</v>
      </c>
      <c r="X56" s="50">
        <f t="shared" si="12"/>
        <v>2.8565635043702679E-2</v>
      </c>
      <c r="Y56" s="50">
        <f t="shared" si="12"/>
        <v>3.7143466975766051E-2</v>
      </c>
      <c r="Z56" s="50">
        <f t="shared" si="12"/>
        <v>3.4135227740217398E-2</v>
      </c>
    </row>
    <row r="57" spans="1:26" x14ac:dyDescent="0.15">
      <c r="A57" s="41"/>
      <c r="B57" s="47" t="s">
        <v>8</v>
      </c>
      <c r="C57" s="58">
        <v>526960775.6788609</v>
      </c>
      <c r="D57" s="58">
        <v>360458867.74718076</v>
      </c>
      <c r="E57" s="58">
        <v>546768593.50569057</v>
      </c>
      <c r="F57" s="58">
        <v>660306184.00377989</v>
      </c>
      <c r="G57" s="58">
        <v>659950068.86980259</v>
      </c>
      <c r="H57" s="58">
        <f>'High Siera'!H$16</f>
        <v>680998601.05363297</v>
      </c>
      <c r="I57" s="58">
        <f>'High Siera'!H$17</f>
        <v>705391352.15427923</v>
      </c>
      <c r="J57" s="58">
        <f>'High Siera'!H$18</f>
        <v>727975202.61503685</v>
      </c>
      <c r="K57" s="58">
        <f>'High Siera'!H$19</f>
        <v>747816573.32528913</v>
      </c>
      <c r="L57" s="58">
        <f>'High Siera'!H$20</f>
        <v>775242888.34778142</v>
      </c>
      <c r="M57" s="58">
        <f>'High Siera'!H$21</f>
        <v>802332923.38881934</v>
      </c>
      <c r="O57" s="47" t="s">
        <v>8</v>
      </c>
      <c r="P57" s="50">
        <v>5.3218484779088637E-2</v>
      </c>
      <c r="Q57" s="50">
        <v>-0.31596641650829305</v>
      </c>
      <c r="R57" s="50">
        <v>0.51686819892355684</v>
      </c>
      <c r="S57" s="50">
        <v>0.20765199729217354</v>
      </c>
      <c r="T57" s="50">
        <v>-5.3931818693253586E-4</v>
      </c>
      <c r="U57" s="50">
        <f t="shared" si="13"/>
        <v>3.1894128323794319E-2</v>
      </c>
      <c r="V57" s="50">
        <f t="shared" si="11"/>
        <v>3.5819091350416991E-2</v>
      </c>
      <c r="W57" s="50">
        <f t="shared" si="12"/>
        <v>3.2016058024791606E-2</v>
      </c>
      <c r="X57" s="50">
        <f t="shared" si="12"/>
        <v>2.7255558484654416E-2</v>
      </c>
      <c r="Y57" s="50">
        <f t="shared" si="12"/>
        <v>3.6675190147948553E-2</v>
      </c>
      <c r="Z57" s="50">
        <f t="shared" si="12"/>
        <v>3.4943932344575171E-2</v>
      </c>
    </row>
    <row r="58" spans="1:26" x14ac:dyDescent="0.15">
      <c r="A58" s="41"/>
      <c r="B58" s="47" t="s">
        <v>9</v>
      </c>
      <c r="C58" s="58">
        <v>697485335.98970032</v>
      </c>
      <c r="D58" s="58">
        <v>580369718.77270341</v>
      </c>
      <c r="E58" s="58">
        <v>868206057.63724768</v>
      </c>
      <c r="F58" s="58">
        <v>964334284.57354307</v>
      </c>
      <c r="G58" s="58">
        <v>945729201.71182048</v>
      </c>
      <c r="H58" s="58">
        <f>'Inland Empire'!H$16</f>
        <v>908357548.13477242</v>
      </c>
      <c r="I58" s="58">
        <f>'Inland Empire'!H$17</f>
        <v>909099983.09918475</v>
      </c>
      <c r="J58" s="58">
        <f>'Inland Empire'!H$18</f>
        <v>931338342.17606378</v>
      </c>
      <c r="K58" s="58">
        <f>'Inland Empire'!H$19</f>
        <v>949341809.83210301</v>
      </c>
      <c r="L58" s="58">
        <f>'Inland Empire'!H$20</f>
        <v>979389781.57070553</v>
      </c>
      <c r="M58" s="58">
        <f>'Inland Empire'!H$21</f>
        <v>1010053460.4989249</v>
      </c>
      <c r="O58" s="47" t="s">
        <v>9</v>
      </c>
      <c r="P58" s="50">
        <v>3.821809705143453E-2</v>
      </c>
      <c r="Q58" s="50">
        <v>-0.1679112250450614</v>
      </c>
      <c r="R58" s="50">
        <v>0.49595340617223482</v>
      </c>
      <c r="S58" s="50">
        <v>0.11072052088406337</v>
      </c>
      <c r="T58" s="50">
        <v>-1.9293188222536561E-2</v>
      </c>
      <c r="U58" s="50">
        <f t="shared" si="13"/>
        <v>-3.9516230977539202E-2</v>
      </c>
      <c r="V58" s="50">
        <f t="shared" si="11"/>
        <v>8.173378048510221E-4</v>
      </c>
      <c r="W58" s="50">
        <f t="shared" si="12"/>
        <v>2.446195081982833E-2</v>
      </c>
      <c r="X58" s="50">
        <f t="shared" si="12"/>
        <v>1.9330748924149623E-2</v>
      </c>
      <c r="Y58" s="50">
        <f t="shared" si="12"/>
        <v>3.1651373011704488E-2</v>
      </c>
      <c r="Z58" s="50">
        <f t="shared" si="12"/>
        <v>3.1308963504849067E-2</v>
      </c>
    </row>
    <row r="59" spans="1:26" x14ac:dyDescent="0.15">
      <c r="A59" s="41"/>
      <c r="B59" s="47" t="s">
        <v>10</v>
      </c>
      <c r="C59" s="58">
        <v>5640493356.55021</v>
      </c>
      <c r="D59" s="58">
        <v>2576949216.4788032</v>
      </c>
      <c r="E59" s="58">
        <v>4060730520.5466695</v>
      </c>
      <c r="F59" s="58">
        <v>5739187894.5852242</v>
      </c>
      <c r="G59" s="58">
        <v>6089331684.2521162</v>
      </c>
      <c r="H59" s="58">
        <f>'Los Angeles'!H$16</f>
        <v>5828976245.9411163</v>
      </c>
      <c r="I59" s="58">
        <f>'Los Angeles'!H$17</f>
        <v>5793399405.8884478</v>
      </c>
      <c r="J59" s="58">
        <f>'Los Angeles'!H$18</f>
        <v>6098381356.2779217</v>
      </c>
      <c r="K59" s="58">
        <f>'Los Angeles'!H$19</f>
        <v>6399483890.1700354</v>
      </c>
      <c r="L59" s="58">
        <f>'Los Angeles'!H$20</f>
        <v>6557899972.590683</v>
      </c>
      <c r="M59" s="58">
        <f>'Los Angeles'!H$21</f>
        <v>6768179532.6742706</v>
      </c>
      <c r="O59" s="47" t="s">
        <v>10</v>
      </c>
      <c r="P59" s="50">
        <v>3.7004095037527884E-2</v>
      </c>
      <c r="Q59" s="50">
        <v>-0.54313407470177488</v>
      </c>
      <c r="R59" s="50">
        <v>0.5757898892921669</v>
      </c>
      <c r="S59" s="50">
        <v>0.41333877378610051</v>
      </c>
      <c r="T59" s="50">
        <v>6.100929192390514E-2</v>
      </c>
      <c r="U59" s="50">
        <f t="shared" si="13"/>
        <v>-4.2755995536310876E-2</v>
      </c>
      <c r="V59" s="50">
        <f t="shared" si="11"/>
        <v>-6.103445708402354E-3</v>
      </c>
      <c r="W59" s="50">
        <f t="shared" si="12"/>
        <v>5.2643004395569265E-2</v>
      </c>
      <c r="X59" s="50">
        <f t="shared" si="12"/>
        <v>4.9374172637161581E-2</v>
      </c>
      <c r="Y59" s="50">
        <f t="shared" si="12"/>
        <v>2.4754509135335674E-2</v>
      </c>
      <c r="Z59" s="50">
        <f t="shared" si="12"/>
        <v>3.2065075856977002E-2</v>
      </c>
    </row>
    <row r="60" spans="1:26" x14ac:dyDescent="0.15">
      <c r="A60" s="41"/>
      <c r="B60" s="47" t="s">
        <v>11</v>
      </c>
      <c r="C60" s="58">
        <v>269506454.80782419</v>
      </c>
      <c r="D60" s="58">
        <v>200257297.50456414</v>
      </c>
      <c r="E60" s="58">
        <v>314020318.79103035</v>
      </c>
      <c r="F60" s="58">
        <v>327195287.13510609</v>
      </c>
      <c r="G60" s="58">
        <v>298325026.49545658</v>
      </c>
      <c r="H60" s="58">
        <f>'North Coast'!H$16</f>
        <v>292272868.6141898</v>
      </c>
      <c r="I60" s="58">
        <f>'North Coast'!H$17</f>
        <v>295181657.486269</v>
      </c>
      <c r="J60" s="58">
        <f>'North Coast'!H$18</f>
        <v>305403054.40357542</v>
      </c>
      <c r="K60" s="58">
        <f>'North Coast'!H$19</f>
        <v>313138282.74477893</v>
      </c>
      <c r="L60" s="58">
        <f>'North Coast'!H$20</f>
        <v>323287389.27219373</v>
      </c>
      <c r="M60" s="58">
        <f>'North Coast'!H$21</f>
        <v>333077100.69746131</v>
      </c>
      <c r="O60" s="47" t="s">
        <v>11</v>
      </c>
      <c r="P60" s="50">
        <v>-0.28955345314187875</v>
      </c>
      <c r="Q60" s="50">
        <v>-0.25694804732094179</v>
      </c>
      <c r="R60" s="50">
        <v>0.56808427310307308</v>
      </c>
      <c r="S60" s="50">
        <v>4.1955782972258104E-2</v>
      </c>
      <c r="T60" s="50">
        <v>-8.8235563820112106E-2</v>
      </c>
      <c r="U60" s="50">
        <f t="shared" si="13"/>
        <v>-2.0287127608313298E-2</v>
      </c>
      <c r="V60" s="50">
        <f t="shared" si="11"/>
        <v>9.9523054803930307E-3</v>
      </c>
      <c r="W60" s="50">
        <f t="shared" si="12"/>
        <v>3.4627479919824941E-2</v>
      </c>
      <c r="X60" s="50">
        <f t="shared" si="12"/>
        <v>2.5327933790019595E-2</v>
      </c>
      <c r="Y60" s="50">
        <f t="shared" si="12"/>
        <v>3.2410941384917645E-2</v>
      </c>
      <c r="Z60" s="50">
        <f t="shared" si="12"/>
        <v>3.0281760904150429E-2</v>
      </c>
    </row>
    <row r="61" spans="1:26" x14ac:dyDescent="0.15">
      <c r="B61" s="47" t="s">
        <v>12</v>
      </c>
      <c r="C61" s="58">
        <v>2668166800.5509944</v>
      </c>
      <c r="D61" s="58">
        <v>1116070719.6922889</v>
      </c>
      <c r="E61" s="58">
        <v>2020245039.734498</v>
      </c>
      <c r="F61" s="58">
        <v>3126678579.9126029</v>
      </c>
      <c r="G61" s="58">
        <v>3312577928.9763904</v>
      </c>
      <c r="H61" s="58">
        <f>'Orange County'!H$16</f>
        <v>3329912935.4826584</v>
      </c>
      <c r="I61" s="58">
        <f>'Orange County'!H$17</f>
        <v>3389562732.1986871</v>
      </c>
      <c r="J61" s="58">
        <f>'Orange County'!H$18</f>
        <v>3553620360.0294752</v>
      </c>
      <c r="K61" s="58">
        <f>'Orange County'!H$19</f>
        <v>3632843907.4287319</v>
      </c>
      <c r="L61" s="58">
        <f>'Orange County'!H$20</f>
        <v>3781844626.9905143</v>
      </c>
      <c r="M61" s="58">
        <f>'Orange County'!H$21</f>
        <v>3903286194.9176688</v>
      </c>
      <c r="O61" s="47" t="s">
        <v>12</v>
      </c>
      <c r="P61" s="50">
        <v>6.6470754717997682E-3</v>
      </c>
      <c r="Q61" s="50">
        <v>-0.58170878992204966</v>
      </c>
      <c r="R61" s="50">
        <v>0.81014070532331384</v>
      </c>
      <c r="S61" s="50">
        <v>0.5476729398744189</v>
      </c>
      <c r="T61" s="50">
        <v>5.9455855251032474E-2</v>
      </c>
      <c r="U61" s="50">
        <f t="shared" si="13"/>
        <v>5.2330863991551929E-3</v>
      </c>
      <c r="V61" s="50">
        <f t="shared" si="11"/>
        <v>1.7913320219401674E-2</v>
      </c>
      <c r="W61" s="50">
        <f t="shared" si="12"/>
        <v>4.8400823584807906E-2</v>
      </c>
      <c r="X61" s="50">
        <f t="shared" si="12"/>
        <v>2.2293756612369136E-2</v>
      </c>
      <c r="Y61" s="50">
        <f t="shared" si="12"/>
        <v>4.1014897242651602E-2</v>
      </c>
      <c r="Z61" s="50">
        <f t="shared" si="12"/>
        <v>3.2111728509532748E-2</v>
      </c>
    </row>
    <row r="62" spans="1:26" x14ac:dyDescent="0.15">
      <c r="B62" s="47" t="s">
        <v>13</v>
      </c>
      <c r="C62" s="58">
        <v>229636084.21750778</v>
      </c>
      <c r="D62" s="58">
        <v>187138722.4626601</v>
      </c>
      <c r="E62" s="58">
        <v>266913089.17493981</v>
      </c>
      <c r="F62" s="58">
        <v>249195997.41165614</v>
      </c>
      <c r="G62" s="58">
        <v>226947129.4004432</v>
      </c>
      <c r="H62" s="58">
        <f>'Shasta Cascade'!H$16</f>
        <v>230075657.40916869</v>
      </c>
      <c r="I62" s="58">
        <f>'Shasta Cascade'!H$17</f>
        <v>232617298.57901821</v>
      </c>
      <c r="J62" s="58">
        <f>'Shasta Cascade'!H$18</f>
        <v>241463219.16231897</v>
      </c>
      <c r="K62" s="58">
        <f>'Shasta Cascade'!H$19</f>
        <v>245834467.94854259</v>
      </c>
      <c r="L62" s="58">
        <f>'Shasta Cascade'!H$20</f>
        <v>252765579.37555149</v>
      </c>
      <c r="M62" s="58">
        <f>'Shasta Cascade'!H$21</f>
        <v>259972451.70883304</v>
      </c>
      <c r="O62" s="47" t="s">
        <v>13</v>
      </c>
      <c r="P62" s="50">
        <v>8.5952709491963653E-2</v>
      </c>
      <c r="Q62" s="50">
        <v>-0.18506395412401666</v>
      </c>
      <c r="R62" s="50">
        <v>0.4262846601840895</v>
      </c>
      <c r="S62" s="50">
        <v>-6.6377755463582933E-2</v>
      </c>
      <c r="T62" s="50">
        <v>-8.9282605829576034E-2</v>
      </c>
      <c r="U62" s="50">
        <f t="shared" si="13"/>
        <v>1.3785272442046515E-2</v>
      </c>
      <c r="V62" s="50">
        <f t="shared" si="11"/>
        <v>1.1046979930299348E-2</v>
      </c>
      <c r="W62" s="50">
        <f t="shared" si="12"/>
        <v>3.8027784852362911E-2</v>
      </c>
      <c r="X62" s="50">
        <f t="shared" si="12"/>
        <v>1.8103166193958232E-2</v>
      </c>
      <c r="Y62" s="50">
        <f t="shared" si="12"/>
        <v>2.8194221440338053E-2</v>
      </c>
      <c r="Z62" s="50">
        <f t="shared" si="12"/>
        <v>2.851207965533073E-2</v>
      </c>
    </row>
    <row r="63" spans="1:26" x14ac:dyDescent="0.15">
      <c r="B63" s="47" t="s">
        <v>14</v>
      </c>
      <c r="C63" s="58">
        <v>3013625735.1701994</v>
      </c>
      <c r="D63" s="58">
        <v>1385879741.8462985</v>
      </c>
      <c r="E63" s="58">
        <v>2365381667.3351974</v>
      </c>
      <c r="F63" s="58">
        <v>3461475734.3130016</v>
      </c>
      <c r="G63" s="58">
        <v>3611430389.086926</v>
      </c>
      <c r="H63" s="58">
        <f>'San Diego'!H$16</f>
        <v>3712492487.8343945</v>
      </c>
      <c r="I63" s="58">
        <f>'San Diego'!H$17</f>
        <v>3701097944.6910872</v>
      </c>
      <c r="J63" s="58">
        <f>'San Diego'!H$18</f>
        <v>3877108206.4204865</v>
      </c>
      <c r="K63" s="58">
        <f>'San Diego'!H$19</f>
        <v>3997712717.454535</v>
      </c>
      <c r="L63" s="58">
        <f>'San Diego'!H$20</f>
        <v>4152068257.8324895</v>
      </c>
      <c r="M63" s="58">
        <f>'San Diego'!H$21</f>
        <v>4307059205.4196377</v>
      </c>
      <c r="O63" s="47" t="s">
        <v>14</v>
      </c>
      <c r="P63" s="50">
        <v>2.143107233669661E-2</v>
      </c>
      <c r="Q63" s="50">
        <v>-0.54012878053417979</v>
      </c>
      <c r="R63" s="50">
        <v>0.70677267003267219</v>
      </c>
      <c r="S63" s="50">
        <v>0.46338993918585958</v>
      </c>
      <c r="T63" s="50">
        <v>4.3321018630132269E-2</v>
      </c>
      <c r="U63" s="50">
        <f t="shared" si="13"/>
        <v>2.7983953131938921E-2</v>
      </c>
      <c r="V63" s="50">
        <f t="shared" si="11"/>
        <v>-3.0692434208678975E-3</v>
      </c>
      <c r="W63" s="50">
        <f t="shared" si="12"/>
        <v>4.755622908652582E-2</v>
      </c>
      <c r="X63" s="50">
        <f t="shared" si="12"/>
        <v>3.1106821015293728E-2</v>
      </c>
      <c r="Y63" s="50">
        <f t="shared" si="12"/>
        <v>3.8610963640288126E-2</v>
      </c>
      <c r="Z63" s="50">
        <f t="shared" si="12"/>
        <v>3.7328612624508817E-2</v>
      </c>
    </row>
    <row r="64" spans="1:26" x14ac:dyDescent="0.15">
      <c r="B64" s="47" t="s">
        <v>15</v>
      </c>
      <c r="C64" s="58">
        <v>7574588558.4034004</v>
      </c>
      <c r="D64" s="58">
        <v>2635806372.8087535</v>
      </c>
      <c r="E64" s="58">
        <v>3350748011.5922484</v>
      </c>
      <c r="F64" s="58">
        <v>5673729875.1341906</v>
      </c>
      <c r="G64" s="58">
        <v>6210763659.2775879</v>
      </c>
      <c r="H64" s="58">
        <f>'San Francisco Bay Area'!H$16</f>
        <v>6005642346.1472368</v>
      </c>
      <c r="I64" s="58">
        <f>'San Francisco Bay Area'!H$17</f>
        <v>6397888453.8335505</v>
      </c>
      <c r="J64" s="58">
        <f>'San Francisco Bay Area'!H$18</f>
        <v>6856220974.9616156</v>
      </c>
      <c r="K64" s="58">
        <f>'San Francisco Bay Area'!H$19</f>
        <v>6674554152.8057299</v>
      </c>
      <c r="L64" s="58">
        <f>'San Francisco Bay Area'!H$20</f>
        <v>6926806674.7769241</v>
      </c>
      <c r="M64" s="58">
        <f>'San Francisco Bay Area'!H$21</f>
        <v>7228653293.466403</v>
      </c>
      <c r="O64" s="47" t="s">
        <v>15</v>
      </c>
      <c r="P64" s="50">
        <v>2.3248078700374153E-2</v>
      </c>
      <c r="Q64" s="50">
        <v>-0.65201986187295446</v>
      </c>
      <c r="R64" s="50">
        <v>0.27124209356153983</v>
      </c>
      <c r="S64" s="50">
        <v>0.69327262315917348</v>
      </c>
      <c r="T64" s="50">
        <v>9.4652688083902703E-2</v>
      </c>
      <c r="U64" s="50">
        <f t="shared" si="13"/>
        <v>-3.3026745885579231E-2</v>
      </c>
      <c r="V64" s="50">
        <f t="shared" si="11"/>
        <v>6.5312931586402057E-2</v>
      </c>
      <c r="W64" s="50">
        <f t="shared" si="12"/>
        <v>7.1638091916628663E-2</v>
      </c>
      <c r="X64" s="50">
        <f t="shared" si="12"/>
        <v>-2.6496640469920497E-2</v>
      </c>
      <c r="Y64" s="50">
        <f t="shared" si="12"/>
        <v>3.7793164336700581E-2</v>
      </c>
      <c r="Z64" s="50">
        <f t="shared" si="12"/>
        <v>4.3576590608283401E-2</v>
      </c>
    </row>
    <row r="65" spans="1:26" x14ac:dyDescent="0.15">
      <c r="B65" s="47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O65" s="47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x14ac:dyDescent="0.15">
      <c r="A66" s="41"/>
      <c r="B66" s="59" t="s">
        <v>41</v>
      </c>
      <c r="C66" s="60"/>
      <c r="D66" s="60"/>
      <c r="E66" s="60"/>
      <c r="F66" s="60"/>
      <c r="G66" s="60"/>
      <c r="H66" s="61"/>
      <c r="I66" s="61"/>
      <c r="J66" s="61"/>
      <c r="K66" s="61"/>
      <c r="L66" s="61"/>
      <c r="M66" s="61"/>
      <c r="O66" s="59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spans="1:26" x14ac:dyDescent="0.15">
      <c r="A67" s="63"/>
      <c r="B67" s="64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O67" s="64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x14ac:dyDescent="0.15">
      <c r="B68" s="1" t="s">
        <v>22</v>
      </c>
      <c r="P68" s="67"/>
      <c r="S68" s="67"/>
      <c r="V68" s="67"/>
      <c r="W68" s="67"/>
      <c r="X68" s="67"/>
      <c r="Y68" s="67"/>
      <c r="Z68" s="67"/>
    </row>
    <row r="69" spans="1:26" x14ac:dyDescent="0.15">
      <c r="B69" s="1" t="s">
        <v>27</v>
      </c>
      <c r="P69" s="67"/>
      <c r="S69" s="67"/>
      <c r="V69" s="67"/>
      <c r="W69" s="67"/>
      <c r="X69" s="67"/>
      <c r="Y69" s="67"/>
      <c r="Z69" s="67"/>
    </row>
    <row r="70" spans="1:26" x14ac:dyDescent="0.15">
      <c r="P70" s="67"/>
      <c r="S70" s="67"/>
      <c r="V70" s="67"/>
      <c r="W70" s="67"/>
      <c r="X70" s="67"/>
      <c r="Y70" s="67"/>
      <c r="Z70" s="67"/>
    </row>
    <row r="71" spans="1:26" x14ac:dyDescent="0.15">
      <c r="C71" s="67"/>
      <c r="D71" s="67"/>
      <c r="P71" s="67"/>
      <c r="S71" s="67"/>
      <c r="V71" s="67"/>
      <c r="W71" s="67"/>
      <c r="X71" s="67"/>
      <c r="Y71" s="67"/>
      <c r="Z71" s="67"/>
    </row>
    <row r="72" spans="1:26" x14ac:dyDescent="0.15">
      <c r="C72" s="67"/>
      <c r="D72" s="67"/>
      <c r="P72" s="67"/>
      <c r="S72" s="67"/>
      <c r="V72" s="67"/>
      <c r="W72" s="67"/>
      <c r="X72" s="67"/>
      <c r="Y72" s="67"/>
      <c r="Z72" s="67"/>
    </row>
    <row r="73" spans="1:26" x14ac:dyDescent="0.15">
      <c r="C73" s="67"/>
      <c r="D73" s="67"/>
      <c r="P73" s="67"/>
      <c r="S73" s="67"/>
      <c r="V73" s="67"/>
      <c r="W73" s="67"/>
      <c r="X73" s="67"/>
      <c r="Y73" s="67"/>
      <c r="Z73" s="67"/>
    </row>
    <row r="74" spans="1:26" x14ac:dyDescent="0.15">
      <c r="C74" s="67"/>
      <c r="D74" s="67"/>
      <c r="P74" s="67"/>
      <c r="S74" s="67"/>
      <c r="V74" s="67"/>
      <c r="W74" s="67"/>
      <c r="X74" s="67"/>
      <c r="Y74" s="67"/>
      <c r="Z74" s="67"/>
    </row>
    <row r="75" spans="1:26" x14ac:dyDescent="0.15">
      <c r="C75" s="67"/>
      <c r="D75" s="67"/>
      <c r="P75" s="67"/>
      <c r="S75" s="67"/>
      <c r="V75" s="67"/>
      <c r="W75" s="67"/>
      <c r="X75" s="67"/>
      <c r="Y75" s="67"/>
      <c r="Z75" s="67"/>
    </row>
    <row r="76" spans="1:26" x14ac:dyDescent="0.15">
      <c r="C76" s="67"/>
      <c r="D76" s="67"/>
      <c r="P76" s="67"/>
      <c r="S76" s="67"/>
      <c r="V76" s="67"/>
      <c r="W76" s="67"/>
      <c r="X76" s="67"/>
      <c r="Y76" s="67"/>
      <c r="Z76" s="67"/>
    </row>
    <row r="77" spans="1:26" x14ac:dyDescent="0.15">
      <c r="C77" s="67"/>
      <c r="D77" s="67"/>
      <c r="P77" s="67"/>
      <c r="S77" s="67"/>
      <c r="V77" s="67"/>
      <c r="W77" s="67"/>
      <c r="X77" s="67"/>
      <c r="Y77" s="67"/>
      <c r="Z77" s="67"/>
    </row>
    <row r="78" spans="1:26" x14ac:dyDescent="0.15">
      <c r="C78" s="67"/>
      <c r="D78" s="67"/>
      <c r="P78" s="67"/>
      <c r="S78" s="67"/>
      <c r="V78" s="67"/>
      <c r="W78" s="67"/>
      <c r="X78" s="67"/>
      <c r="Y78" s="67"/>
      <c r="Z78" s="67"/>
    </row>
    <row r="79" spans="1:26" x14ac:dyDescent="0.15">
      <c r="C79" s="67"/>
      <c r="P79" s="68"/>
      <c r="S79" s="68"/>
      <c r="V79" s="68"/>
      <c r="W79" s="68"/>
      <c r="X79" s="68"/>
      <c r="Y79" s="68"/>
      <c r="Z79" s="68"/>
    </row>
    <row r="80" spans="1:26" x14ac:dyDescent="0.15">
      <c r="P80" s="68"/>
      <c r="S80" s="68"/>
      <c r="V80" s="68"/>
      <c r="W80" s="68"/>
      <c r="X80" s="68"/>
      <c r="Y80" s="68"/>
      <c r="Z80" s="68"/>
    </row>
    <row r="81" spans="16:26" x14ac:dyDescent="0.15">
      <c r="P81" s="68"/>
      <c r="S81" s="68"/>
      <c r="V81" s="68"/>
      <c r="W81" s="68"/>
      <c r="X81" s="68"/>
      <c r="Y81" s="68"/>
      <c r="Z81" s="68"/>
    </row>
    <row r="82" spans="16:26" x14ac:dyDescent="0.15">
      <c r="P82" s="68"/>
      <c r="S82" s="68"/>
      <c r="V82" s="68"/>
      <c r="W82" s="68"/>
      <c r="X82" s="68"/>
      <c r="Y82" s="68"/>
      <c r="Z82" s="68"/>
    </row>
    <row r="83" spans="16:26" x14ac:dyDescent="0.15">
      <c r="P83" s="68"/>
      <c r="S83" s="68"/>
      <c r="V83" s="68"/>
      <c r="W83" s="68"/>
      <c r="X83" s="68"/>
      <c r="Y83" s="68"/>
      <c r="Z83" s="68"/>
    </row>
    <row r="84" spans="16:26" x14ac:dyDescent="0.15">
      <c r="P84" s="68"/>
      <c r="S84" s="68"/>
      <c r="V84" s="68"/>
      <c r="W84" s="68"/>
      <c r="X84" s="68"/>
      <c r="Y84" s="68"/>
      <c r="Z84" s="68"/>
    </row>
    <row r="85" spans="16:26" x14ac:dyDescent="0.15">
      <c r="P85" s="68"/>
      <c r="S85" s="68"/>
      <c r="V85" s="68"/>
      <c r="W85" s="68"/>
      <c r="X85" s="68"/>
      <c r="Y85" s="68"/>
      <c r="Z85" s="68"/>
    </row>
    <row r="86" spans="16:26" x14ac:dyDescent="0.15">
      <c r="P86" s="68"/>
      <c r="S86" s="68"/>
      <c r="V86" s="68"/>
      <c r="W86" s="68"/>
      <c r="X86" s="68"/>
      <c r="Y86" s="68"/>
      <c r="Z86" s="6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04A2-32F1-4C4C-A5D0-64E3B334DC1F}">
  <sheetPr>
    <tabColor theme="4" tint="0.59999389629810485"/>
  </sheetPr>
  <dimension ref="B1:W50"/>
  <sheetViews>
    <sheetView zoomScale="150" zoomScaleNormal="150" workbookViewId="0">
      <selection activeCell="G39" sqref="G39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40</v>
      </c>
    </row>
    <row r="2" spans="2:23" s="6" customFormat="1" ht="11.5" customHeight="1" x14ac:dyDescent="0.15">
      <c r="K2" s="28" t="s">
        <v>19</v>
      </c>
      <c r="L2" s="28"/>
      <c r="M2" s="28"/>
      <c r="N2" s="28"/>
      <c r="O2" s="28"/>
      <c r="P2" s="28"/>
      <c r="Q2" s="29"/>
      <c r="R2" s="28" t="s">
        <v>26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24</v>
      </c>
      <c r="D3" s="8" t="s">
        <v>25</v>
      </c>
      <c r="E3" s="8" t="s">
        <v>17</v>
      </c>
      <c r="F3" s="8" t="s">
        <v>20</v>
      </c>
      <c r="G3" s="8" t="s">
        <v>21</v>
      </c>
      <c r="H3" s="8" t="s">
        <v>18</v>
      </c>
      <c r="K3" s="8" t="s">
        <v>24</v>
      </c>
      <c r="L3" s="8" t="s">
        <v>25</v>
      </c>
      <c r="M3" s="8" t="s">
        <v>17</v>
      </c>
      <c r="N3" s="8" t="s">
        <v>20</v>
      </c>
      <c r="O3" s="8" t="s">
        <v>21</v>
      </c>
      <c r="P3" s="8" t="s">
        <v>18</v>
      </c>
      <c r="Q3" s="18"/>
      <c r="R3" s="8" t="s">
        <v>24</v>
      </c>
      <c r="S3" s="8" t="s">
        <v>25</v>
      </c>
      <c r="T3" s="8" t="s">
        <v>17</v>
      </c>
      <c r="U3" s="8" t="s">
        <v>20</v>
      </c>
      <c r="V3" s="8" t="s">
        <v>21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500567.83333333331</v>
      </c>
      <c r="D5" s="12">
        <v>265841.44696625194</v>
      </c>
      <c r="E5" s="13">
        <f t="shared" ref="E5:E9" si="0">D5/C5</f>
        <v>0.53107976434679405</v>
      </c>
      <c r="F5" s="14">
        <v>0</v>
      </c>
      <c r="G5" s="14">
        <f t="shared" ref="G5:G9" si="1">(H5/365)/C5</f>
        <v>0</v>
      </c>
      <c r="H5" s="15">
        <f t="shared" ref="H5:H9" si="2">D5*F5*365</f>
        <v>0</v>
      </c>
      <c r="J5" s="5"/>
      <c r="K5" s="12">
        <v>500567.83333333331</v>
      </c>
      <c r="L5" s="12">
        <v>265841.44696625194</v>
      </c>
      <c r="M5" s="23">
        <v>0.53107976434679405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503981.75</v>
      </c>
      <c r="D6" s="12">
        <v>366114.2276156834</v>
      </c>
      <c r="E6" s="13">
        <f t="shared" si="0"/>
        <v>0.72644342303205101</v>
      </c>
      <c r="F6" s="14">
        <v>140.09927927904477</v>
      </c>
      <c r="G6" s="14">
        <f t="shared" si="1"/>
        <v>101.77420000379257</v>
      </c>
      <c r="H6" s="15">
        <f t="shared" si="2"/>
        <v>18721703889.307907</v>
      </c>
      <c r="J6" s="5"/>
      <c r="K6" s="12">
        <v>503981.75</v>
      </c>
      <c r="L6" s="12">
        <v>366114.2276156834</v>
      </c>
      <c r="M6" s="23">
        <v>0.72644342303205101</v>
      </c>
      <c r="N6" s="14">
        <v>140.09927927904477</v>
      </c>
      <c r="O6" s="14">
        <v>101.77420000379257</v>
      </c>
      <c r="P6" s="15">
        <v>18721703889.307907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506140.91666666669</v>
      </c>
      <c r="D7" s="12">
        <v>378148.76728718186</v>
      </c>
      <c r="E7" s="13">
        <f t="shared" si="0"/>
        <v>0.74712151267593008</v>
      </c>
      <c r="F7" s="14">
        <v>149.80810650325651</v>
      </c>
      <c r="G7" s="14">
        <f t="shared" si="1"/>
        <v>111.92485914182986</v>
      </c>
      <c r="H7" s="15">
        <f t="shared" si="2"/>
        <v>20677159043.399158</v>
      </c>
      <c r="J7" s="5"/>
      <c r="K7" s="12">
        <v>506140.91666666669</v>
      </c>
      <c r="L7" s="12">
        <v>378148.76728718186</v>
      </c>
      <c r="M7" s="23">
        <v>0.74712151267593008</v>
      </c>
      <c r="N7" s="14">
        <v>149.80810650325651</v>
      </c>
      <c r="O7" s="14">
        <v>111.92485914182986</v>
      </c>
      <c r="P7" s="15">
        <v>20677159043.399158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509332.33333333331</v>
      </c>
      <c r="D8" s="12">
        <v>383821.87352016772</v>
      </c>
      <c r="E8" s="13">
        <f t="shared" si="0"/>
        <v>0.75357845634546616</v>
      </c>
      <c r="F8" s="14">
        <v>158.35168320731688</v>
      </c>
      <c r="G8" s="14">
        <f t="shared" si="1"/>
        <v>119.33041699107612</v>
      </c>
      <c r="H8" s="15">
        <f t="shared" si="2"/>
        <v>22184276499.152122</v>
      </c>
      <c r="J8" s="5"/>
      <c r="K8" s="12">
        <v>509332.33333333331</v>
      </c>
      <c r="L8" s="12">
        <v>383821.87352016772</v>
      </c>
      <c r="M8" s="23">
        <v>0.75357845634546616</v>
      </c>
      <c r="N8" s="14">
        <v>158.35168320731688</v>
      </c>
      <c r="O8" s="14">
        <v>119.33041699107612</v>
      </c>
      <c r="P8" s="15">
        <v>22184276499.152122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515094.58333333331</v>
      </c>
      <c r="D9" s="12">
        <v>388202.9692619369</v>
      </c>
      <c r="E9" s="13">
        <f t="shared" si="0"/>
        <v>0.7536537595673356</v>
      </c>
      <c r="F9" s="14">
        <v>161.79529966851484</v>
      </c>
      <c r="G9" s="14">
        <f t="shared" si="1"/>
        <v>121.93763587549989</v>
      </c>
      <c r="H9" s="15">
        <f t="shared" si="2"/>
        <v>22925436746.538952</v>
      </c>
      <c r="J9" s="5"/>
      <c r="K9" s="12">
        <v>515094.58333333331</v>
      </c>
      <c r="L9" s="12">
        <v>388202.9692619369</v>
      </c>
      <c r="M9" s="23">
        <v>0.7536537595673356</v>
      </c>
      <c r="N9" s="14">
        <v>161.79529966851484</v>
      </c>
      <c r="O9" s="14">
        <v>121.93763587549989</v>
      </c>
      <c r="P9" s="15">
        <v>22925436746.538952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523671.41666666669</v>
      </c>
      <c r="D10" s="12">
        <v>395294.18985012447</v>
      </c>
      <c r="E10" s="13">
        <f>D10/C10</f>
        <v>0.75485156773744944</v>
      </c>
      <c r="F10" s="14">
        <v>168.1077203281871</v>
      </c>
      <c r="G10" s="14">
        <f>(H10/365)/C10</f>
        <v>126.89637623850074</v>
      </c>
      <c r="H10" s="15">
        <f>D10*F10*365</f>
        <v>24254981866.858936</v>
      </c>
      <c r="J10" s="5"/>
      <c r="K10" s="12">
        <v>523671.41666666669</v>
      </c>
      <c r="L10" s="12">
        <v>395294.18985012447</v>
      </c>
      <c r="M10" s="23">
        <v>0.75485156773744944</v>
      </c>
      <c r="N10" s="14">
        <v>168.1077203281871</v>
      </c>
      <c r="O10" s="14">
        <v>126.89637623850074</v>
      </c>
      <c r="P10" s="15">
        <v>24254981866.858936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541426.58333333337</v>
      </c>
      <c r="D11" s="12">
        <v>407202.72515641176</v>
      </c>
      <c r="E11" s="13">
        <v>0.75209222762842132</v>
      </c>
      <c r="F11" s="14">
        <v>167.9721927521737</v>
      </c>
      <c r="G11" s="14">
        <v>126.33058062661289</v>
      </c>
      <c r="H11" s="15">
        <v>24965538143.301872</v>
      </c>
      <c r="J11" s="11">
        <v>2019</v>
      </c>
      <c r="K11" s="12">
        <v>541426.58333333337</v>
      </c>
      <c r="L11" s="12">
        <v>407202.72515641176</v>
      </c>
      <c r="M11" s="23">
        <v>0.75209222762842132</v>
      </c>
      <c r="N11" s="14">
        <v>167.9721927521737</v>
      </c>
      <c r="O11" s="14">
        <v>126.33058062661289</v>
      </c>
      <c r="P11" s="15">
        <v>24965538143.301872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509685.91666666669</v>
      </c>
      <c r="D12" s="12">
        <v>250110.56731915314</v>
      </c>
      <c r="E12" s="13">
        <v>0.49071508382038509</v>
      </c>
      <c r="F12" s="14">
        <v>131.19944949439727</v>
      </c>
      <c r="G12" s="14">
        <v>64.381548855831539</v>
      </c>
      <c r="H12" s="15">
        <v>11977244591.926563</v>
      </c>
      <c r="J12" s="11">
        <v>2020</v>
      </c>
      <c r="K12" s="12">
        <v>509685.91666666669</v>
      </c>
      <c r="L12" s="12">
        <v>250110.56731915314</v>
      </c>
      <c r="M12" s="23">
        <v>0.49071508382038509</v>
      </c>
      <c r="N12" s="14">
        <v>131.19944949439727</v>
      </c>
      <c r="O12" s="14">
        <v>64.381548855831539</v>
      </c>
      <c r="P12" s="15">
        <v>11977244591.926563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539837.08333333337</v>
      </c>
      <c r="D13" s="12">
        <v>328241.40623047733</v>
      </c>
      <c r="E13" s="13">
        <v>0.60803789951532095</v>
      </c>
      <c r="F13" s="14">
        <v>154.39564647338736</v>
      </c>
      <c r="G13" s="14">
        <v>93.878404575988526</v>
      </c>
      <c r="H13" s="15">
        <v>18497851101.715229</v>
      </c>
      <c r="J13" s="11">
        <v>2021</v>
      </c>
      <c r="K13" s="12">
        <v>539837.08333333337</v>
      </c>
      <c r="L13" s="12">
        <v>328241.40623047733</v>
      </c>
      <c r="M13" s="23">
        <v>0.60803789951532095</v>
      </c>
      <c r="N13" s="14">
        <v>154.39564647338736</v>
      </c>
      <c r="O13" s="14">
        <v>93.878404575988526</v>
      </c>
      <c r="P13" s="15">
        <v>18497851101.715229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559898.25</v>
      </c>
      <c r="D14" s="12">
        <v>377315.35225758702</v>
      </c>
      <c r="E14" s="13">
        <v>0.67389985994345758</v>
      </c>
      <c r="F14" s="14">
        <v>186.17543646741842</v>
      </c>
      <c r="G14" s="14">
        <v>125.46360056030535</v>
      </c>
      <c r="H14" s="15">
        <v>25640100393.231106</v>
      </c>
      <c r="J14" s="11">
        <v>2022</v>
      </c>
      <c r="K14" s="12">
        <v>559898.25</v>
      </c>
      <c r="L14" s="12">
        <v>377315.35225758702</v>
      </c>
      <c r="M14" s="23">
        <v>0.67389985994345758</v>
      </c>
      <c r="N14" s="14">
        <v>186.17543646741842</v>
      </c>
      <c r="O14" s="14">
        <v>125.46360056030535</v>
      </c>
      <c r="P14" s="15">
        <v>25640100393.231106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566384.46236559132</v>
      </c>
      <c r="D15" s="12">
        <v>380050.7338006557</v>
      </c>
      <c r="E15" s="13">
        <f t="shared" ref="E15" si="3">D15/C15</f>
        <v>0.6710119345670531</v>
      </c>
      <c r="F15" s="14">
        <v>192.36397211823152</v>
      </c>
      <c r="G15" s="14">
        <f t="shared" ref="G15" si="4">(H15/365)/C15</f>
        <v>129.07852107205719</v>
      </c>
      <c r="H15" s="15">
        <f t="shared" ref="H15" si="5">D15*F15*365</f>
        <v>26684445097.525108</v>
      </c>
      <c r="J15" s="11">
        <v>2023</v>
      </c>
      <c r="K15" s="12">
        <v>566384.46236559132</v>
      </c>
      <c r="L15" s="12">
        <v>380050.7338006557</v>
      </c>
      <c r="M15" s="23">
        <v>0.6710119345670531</v>
      </c>
      <c r="N15" s="14">
        <v>192.36397211823152</v>
      </c>
      <c r="O15" s="14">
        <v>129.07852107205719</v>
      </c>
      <c r="P15" s="15">
        <v>26684445097.525108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570400.24999999988</v>
      </c>
      <c r="D16" s="12">
        <v>382616.84955837176</v>
      </c>
      <c r="E16" s="13">
        <f t="shared" ref="E16:E18" si="6">D16/C16</f>
        <v>0.67078660915448729</v>
      </c>
      <c r="F16" s="14">
        <v>188.39484485012704</v>
      </c>
      <c r="G16" s="14">
        <f t="shared" ref="G16:G18" si="7">(H16/365)/C16</f>
        <v>126.37273915920244</v>
      </c>
      <c r="H16" s="15">
        <f t="shared" ref="H16:H18" si="8">D16*F16*365</f>
        <v>26310310333.501755</v>
      </c>
      <c r="J16" s="11">
        <v>2024</v>
      </c>
      <c r="K16" s="12">
        <v>570400.24999999988</v>
      </c>
      <c r="L16" s="12">
        <v>382616.84955837176</v>
      </c>
      <c r="M16" s="23">
        <v>0.67078660915448729</v>
      </c>
      <c r="N16" s="14">
        <v>188.39484485012704</v>
      </c>
      <c r="O16" s="14">
        <v>126.37273915920244</v>
      </c>
      <c r="P16" s="15">
        <v>26310310333.501755</v>
      </c>
      <c r="Q16" s="12"/>
      <c r="R16" s="25"/>
      <c r="S16" s="25"/>
      <c r="T16" s="24"/>
      <c r="U16" s="26"/>
      <c r="V16" s="26"/>
      <c r="W16" s="27"/>
    </row>
    <row r="17" spans="2:23" s="6" customFormat="1" ht="10.25" customHeight="1" outlineLevel="1" x14ac:dyDescent="0.15">
      <c r="B17" s="11">
        <v>2025</v>
      </c>
      <c r="C17" s="12">
        <v>573126.08333333326</v>
      </c>
      <c r="D17" s="12">
        <v>385856.02531112218</v>
      </c>
      <c r="E17" s="13">
        <f t="shared" si="6"/>
        <v>0.67324806274207938</v>
      </c>
      <c r="F17" s="14">
        <v>190.64598743042606</v>
      </c>
      <c r="G17" s="14">
        <f t="shared" ref="G17" si="9">(H17/365)/C17</f>
        <v>128.35204170708516</v>
      </c>
      <c r="H17" s="15">
        <f t="shared" ref="H17" si="10">D17*F17*365</f>
        <v>26850094577.2677</v>
      </c>
      <c r="J17" s="11">
        <v>2025</v>
      </c>
      <c r="K17" s="12">
        <v>573126.08333333326</v>
      </c>
      <c r="L17" s="12">
        <v>385856.02531112218</v>
      </c>
      <c r="M17" s="23">
        <v>0.67324806274207938</v>
      </c>
      <c r="N17" s="14">
        <v>190.64598743042606</v>
      </c>
      <c r="O17" s="14">
        <v>128.35204170708516</v>
      </c>
      <c r="P17" s="15">
        <v>26850094577.2677</v>
      </c>
      <c r="Q17" s="12"/>
      <c r="R17" s="25">
        <f t="shared" ref="R17:W20" si="11">C17-K17</f>
        <v>0</v>
      </c>
      <c r="S17" s="25">
        <f t="shared" si="11"/>
        <v>0</v>
      </c>
      <c r="T17" s="24">
        <f t="shared" si="11"/>
        <v>0</v>
      </c>
      <c r="U17" s="26">
        <f t="shared" si="11"/>
        <v>0</v>
      </c>
      <c r="V17" s="26">
        <f t="shared" si="11"/>
        <v>0</v>
      </c>
      <c r="W17" s="27">
        <f t="shared" si="11"/>
        <v>0</v>
      </c>
    </row>
    <row r="18" spans="2:23" s="6" customFormat="1" outlineLevel="1" x14ac:dyDescent="0.15">
      <c r="B18" s="11">
        <v>2026</v>
      </c>
      <c r="C18" s="12">
        <v>574419.04166666663</v>
      </c>
      <c r="D18" s="12">
        <v>394474.16522526735</v>
      </c>
      <c r="E18" s="13">
        <f t="shared" si="6"/>
        <v>0.68673587853339191</v>
      </c>
      <c r="F18" s="14">
        <v>196.17571563190262</v>
      </c>
      <c r="G18" s="14">
        <f t="shared" si="7"/>
        <v>134.72090242139149</v>
      </c>
      <c r="H18" s="15">
        <f t="shared" si="8"/>
        <v>28245981856.397938</v>
      </c>
      <c r="J18" s="11">
        <v>2026</v>
      </c>
      <c r="K18" s="12">
        <v>579437.7416666667</v>
      </c>
      <c r="L18" s="12">
        <v>390640.22514080547</v>
      </c>
      <c r="M18" s="23">
        <v>0.67417117845514662</v>
      </c>
      <c r="N18" s="14">
        <v>194.93196205118923</v>
      </c>
      <c r="O18" s="14">
        <v>131.41751057462415</v>
      </c>
      <c r="P18" s="15">
        <v>27794116923.127659</v>
      </c>
      <c r="Q18" s="12"/>
      <c r="R18" s="25">
        <f t="shared" si="11"/>
        <v>-5018.7000000000698</v>
      </c>
      <c r="S18" s="25">
        <f t="shared" si="11"/>
        <v>3833.9400844618795</v>
      </c>
      <c r="T18" s="24">
        <f t="shared" si="11"/>
        <v>1.2564700078245283E-2</v>
      </c>
      <c r="U18" s="26">
        <f t="shared" si="11"/>
        <v>1.2437535807133884</v>
      </c>
      <c r="V18" s="26">
        <f t="shared" si="11"/>
        <v>3.3033918467673402</v>
      </c>
      <c r="W18" s="27">
        <f t="shared" si="11"/>
        <v>451864933.27027893</v>
      </c>
    </row>
    <row r="19" spans="2:23" s="6" customFormat="1" outlineLevel="1" x14ac:dyDescent="0.15">
      <c r="B19" s="11">
        <v>2027</v>
      </c>
      <c r="C19" s="12">
        <v>580469.11666666658</v>
      </c>
      <c r="D19" s="12">
        <v>397557.66762737476</v>
      </c>
      <c r="E19" s="13">
        <f t="shared" ref="E19" si="12">D19/C19</f>
        <v>0.68489030029770137</v>
      </c>
      <c r="F19" s="14">
        <v>198.15435478825324</v>
      </c>
      <c r="G19" s="14">
        <f t="shared" ref="G19" si="13">(H19/365)/C19</f>
        <v>135.71399555622403</v>
      </c>
      <c r="H19" s="15">
        <f t="shared" ref="H19" si="14">D19*F19*365</f>
        <v>28753890838.736225</v>
      </c>
      <c r="J19" s="11">
        <v>2027</v>
      </c>
      <c r="K19" s="12">
        <v>586413.7416666667</v>
      </c>
      <c r="L19" s="12">
        <v>396059.2423274162</v>
      </c>
      <c r="M19" s="23">
        <v>0.67539215776520278</v>
      </c>
      <c r="N19" s="14">
        <v>196.50663388448348</v>
      </c>
      <c r="O19" s="14">
        <v>132.719039474418</v>
      </c>
      <c r="P19" s="15">
        <v>28407318012.938816</v>
      </c>
      <c r="Q19" s="12"/>
      <c r="R19" s="25">
        <f t="shared" si="11"/>
        <v>-5944.6250000001164</v>
      </c>
      <c r="S19" s="25">
        <f t="shared" si="11"/>
        <v>1498.4252999585588</v>
      </c>
      <c r="T19" s="24">
        <f t="shared" si="11"/>
        <v>9.498142532498588E-3</v>
      </c>
      <c r="U19" s="26">
        <f t="shared" si="11"/>
        <v>1.6477209037697662</v>
      </c>
      <c r="V19" s="26">
        <f t="shared" si="11"/>
        <v>2.9949560818060377</v>
      </c>
      <c r="W19" s="27">
        <f t="shared" si="11"/>
        <v>346572825.79740906</v>
      </c>
    </row>
    <row r="20" spans="2:23" s="6" customFormat="1" outlineLevel="1" x14ac:dyDescent="0.15">
      <c r="B20" s="11">
        <v>2028</v>
      </c>
      <c r="C20" s="12">
        <v>590565.35031389655</v>
      </c>
      <c r="D20" s="12">
        <v>404532.88583464309</v>
      </c>
      <c r="E20" s="13">
        <f t="shared" ref="E20" si="15">D20/C20</f>
        <v>0.68499258485047643</v>
      </c>
      <c r="F20" s="14">
        <v>201.37661090622564</v>
      </c>
      <c r="G20" s="14">
        <f t="shared" ref="G20" si="16">(H20/365)/C20</f>
        <v>137.94148523308414</v>
      </c>
      <c r="H20" s="15">
        <f t="shared" ref="H20" si="17">D20*F20*365</f>
        <v>29734163465.565865</v>
      </c>
      <c r="J20" s="11">
        <v>2028</v>
      </c>
      <c r="K20" s="12">
        <v>591572.66047117999</v>
      </c>
      <c r="L20" s="12">
        <v>403123.47439916164</v>
      </c>
      <c r="M20" s="23">
        <v>0.68144371999557751</v>
      </c>
      <c r="N20" s="14">
        <v>200.57133230155051</v>
      </c>
      <c r="O20" s="14">
        <v>136.67807480803774</v>
      </c>
      <c r="P20" s="15">
        <v>29512079504.92849</v>
      </c>
      <c r="Q20" s="12"/>
      <c r="R20" s="25">
        <f t="shared" si="11"/>
        <v>-1007.3101572834421</v>
      </c>
      <c r="S20" s="25">
        <f t="shared" si="11"/>
        <v>1409.4114354814519</v>
      </c>
      <c r="T20" s="24">
        <f t="shared" si="11"/>
        <v>3.5488648548989143E-3</v>
      </c>
      <c r="U20" s="26">
        <f t="shared" si="11"/>
        <v>0.80527860467512369</v>
      </c>
      <c r="V20" s="26">
        <f t="shared" si="11"/>
        <v>1.263410425046402</v>
      </c>
      <c r="W20" s="27">
        <f t="shared" si="11"/>
        <v>222083960.63737488</v>
      </c>
    </row>
    <row r="21" spans="2:23" s="6" customFormat="1" outlineLevel="1" x14ac:dyDescent="0.15">
      <c r="B21" s="11">
        <v>2029</v>
      </c>
      <c r="C21" s="12">
        <v>595203.62856954092</v>
      </c>
      <c r="D21" s="12">
        <v>411595.72113654355</v>
      </c>
      <c r="E21" s="13">
        <f t="shared" ref="E21" si="18">D21/C21</f>
        <v>0.69152085333507762</v>
      </c>
      <c r="F21" s="14">
        <v>205.02165308116179</v>
      </c>
      <c r="G21" s="14">
        <f t="shared" ref="G21" si="19">(H21/365)/C21</f>
        <v>141.77674849085324</v>
      </c>
      <c r="H21" s="15">
        <f t="shared" ref="H21" si="20">D21*F21*365</f>
        <v>30800902829.219669</v>
      </c>
      <c r="J21" s="11">
        <v>2029</v>
      </c>
      <c r="K21" s="12">
        <v>596217.32513861428</v>
      </c>
      <c r="L21" s="12">
        <v>409921.37568339368</v>
      </c>
      <c r="M21" s="23">
        <v>0.68753684000727633</v>
      </c>
      <c r="N21" s="14">
        <v>204.0431629100963</v>
      </c>
      <c r="O21" s="14">
        <v>140.28719145229749</v>
      </c>
      <c r="P21" s="15">
        <v>30529203724.197582</v>
      </c>
      <c r="Q21" s="12"/>
      <c r="R21" s="25">
        <f t="shared" ref="R21" si="21">C21-K21</f>
        <v>-1013.6965690733632</v>
      </c>
      <c r="S21" s="25">
        <f t="shared" ref="S21" si="22">D21-L21</f>
        <v>1674.3454531498719</v>
      </c>
      <c r="T21" s="24">
        <f t="shared" ref="T21" si="23">E21-M21</f>
        <v>3.9840133278012946E-3</v>
      </c>
      <c r="U21" s="26">
        <f t="shared" ref="U21" si="24">F21-N21</f>
        <v>0.97849017106548786</v>
      </c>
      <c r="V21" s="26">
        <f t="shared" ref="V21" si="25">G21-O21</f>
        <v>1.4895570385557448</v>
      </c>
      <c r="W21" s="27">
        <f t="shared" ref="W21" si="26">H21-P21</f>
        <v>271699105.0220871</v>
      </c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f t="shared" ref="C24:H33" si="27">C6/C5-1</f>
        <v>6.8200879867430508E-3</v>
      </c>
      <c r="D24" s="13">
        <f t="shared" si="27"/>
        <v>0.37719017028281865</v>
      </c>
      <c r="E24" s="13">
        <f t="shared" si="27"/>
        <v>0.36786123629761369</v>
      </c>
      <c r="F24" s="13" t="e">
        <f t="shared" si="27"/>
        <v>#DIV/0!</v>
      </c>
      <c r="G24" s="13" t="e">
        <f t="shared" si="27"/>
        <v>#DIV/0!</v>
      </c>
      <c r="H24" s="13" t="e">
        <f t="shared" si="27"/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f t="shared" si="27"/>
        <v>4.284215979381667E-3</v>
      </c>
      <c r="D25" s="13">
        <f t="shared" si="27"/>
        <v>3.2870996983300316E-2</v>
      </c>
      <c r="E25" s="13">
        <f t="shared" si="27"/>
        <v>2.8464831517879707E-2</v>
      </c>
      <c r="F25" s="13">
        <f t="shared" si="27"/>
        <v>6.9299622911507264E-2</v>
      </c>
      <c r="G25" s="13">
        <f t="shared" si="27"/>
        <v>9.9737056519815681E-2</v>
      </c>
      <c r="H25" s="13">
        <f t="shared" si="27"/>
        <v>0.10444856759047583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f t="shared" si="27"/>
        <v>6.3053915650301828E-3</v>
      </c>
      <c r="D26" s="13">
        <f t="shared" si="27"/>
        <v>1.5002313173422266E-2</v>
      </c>
      <c r="E26" s="13">
        <f t="shared" si="27"/>
        <v>8.642427717560297E-3</v>
      </c>
      <c r="F26" s="13">
        <f t="shared" si="27"/>
        <v>5.7030136108653373E-2</v>
      </c>
      <c r="G26" s="13">
        <f t="shared" si="27"/>
        <v>6.6165442655255147E-2</v>
      </c>
      <c r="H26" s="13">
        <f t="shared" si="27"/>
        <v>7.2888033244300265E-2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f t="shared" si="27"/>
        <v>1.1313340274882844E-2</v>
      </c>
      <c r="D27" s="13">
        <f t="shared" si="27"/>
        <v>1.1414398303016382E-2</v>
      </c>
      <c r="E27" s="13">
        <f t="shared" si="27"/>
        <v>9.9927514163100639E-5</v>
      </c>
      <c r="F27" s="13">
        <f t="shared" si="27"/>
        <v>2.1746636293657362E-2</v>
      </c>
      <c r="G27" s="13">
        <f t="shared" si="27"/>
        <v>2.1848736895126564E-2</v>
      </c>
      <c r="H27" s="13">
        <f t="shared" si="27"/>
        <v>3.3409259365080324E-2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f t="shared" si="27"/>
        <v>1.6650987237780912E-2</v>
      </c>
      <c r="D28" s="13">
        <f t="shared" si="27"/>
        <v>1.8266786062119955E-2</v>
      </c>
      <c r="E28" s="13">
        <f t="shared" si="27"/>
        <v>1.5893348303621657E-3</v>
      </c>
      <c r="F28" s="13">
        <f t="shared" si="27"/>
        <v>3.901485811148464E-2</v>
      </c>
      <c r="G28" s="13">
        <f t="shared" si="27"/>
        <v>4.0666200614745351E-2</v>
      </c>
      <c r="H28" s="13">
        <f t="shared" si="27"/>
        <v>5.7994320239971309E-2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f>B11</f>
        <v>2019</v>
      </c>
      <c r="C29" s="13">
        <f t="shared" si="27"/>
        <v>3.3905166678150689E-2</v>
      </c>
      <c r="D29" s="13">
        <f t="shared" si="27"/>
        <v>3.0125753456690996E-2</v>
      </c>
      <c r="E29" s="13">
        <f t="shared" si="27"/>
        <v>-3.6554737738689891E-3</v>
      </c>
      <c r="F29" s="13">
        <f t="shared" si="27"/>
        <v>-8.0619483595889552E-4</v>
      </c>
      <c r="G29" s="13">
        <f t="shared" si="27"/>
        <v>-4.4587215857483375E-3</v>
      </c>
      <c r="H29" s="13">
        <f t="shared" si="27"/>
        <v>2.9295271393866118E-2</v>
      </c>
      <c r="J29" s="11">
        <v>2019</v>
      </c>
      <c r="K29" s="13">
        <f t="shared" ref="K29:P39" si="28">K11/K10-1</f>
        <v>3.3905166678150689E-2</v>
      </c>
      <c r="L29" s="13">
        <f t="shared" si="28"/>
        <v>3.0125753456690996E-2</v>
      </c>
      <c r="M29" s="13">
        <f t="shared" si="28"/>
        <v>-3.6554737738689891E-3</v>
      </c>
      <c r="N29" s="13">
        <f t="shared" si="28"/>
        <v>-8.0619483595889552E-4</v>
      </c>
      <c r="O29" s="13">
        <f t="shared" si="28"/>
        <v>-4.4587215857483375E-3</v>
      </c>
      <c r="P29" s="13">
        <f t="shared" si="28"/>
        <v>2.9295271393866118E-2</v>
      </c>
      <c r="Q29" s="13"/>
      <c r="R29" s="22">
        <f t="shared" ref="R29:R38" si="29">C29-K29</f>
        <v>0</v>
      </c>
      <c r="S29" s="22">
        <f t="shared" ref="S29:S38" si="30">D29-L29</f>
        <v>0</v>
      </c>
      <c r="T29" s="22">
        <f t="shared" ref="T29:T38" si="31">E29-M29</f>
        <v>0</v>
      </c>
      <c r="U29" s="22">
        <f t="shared" ref="U29:U38" si="32">F29-N29</f>
        <v>0</v>
      </c>
      <c r="V29" s="22">
        <f t="shared" ref="V29:V38" si="33">G29-O29</f>
        <v>0</v>
      </c>
      <c r="W29" s="22">
        <f t="shared" ref="W29:W38" si="34">H29-P29</f>
        <v>0</v>
      </c>
    </row>
    <row r="30" spans="2:23" s="6" customFormat="1" x14ac:dyDescent="0.15">
      <c r="B30" s="11">
        <f>B12</f>
        <v>2020</v>
      </c>
      <c r="C30" s="13">
        <f t="shared" si="27"/>
        <v>-5.8624137867876569E-2</v>
      </c>
      <c r="D30" s="13">
        <f t="shared" si="27"/>
        <v>-0.38578366040383816</v>
      </c>
      <c r="E30" s="13">
        <f t="shared" si="27"/>
        <v>-0.34753336652904787</v>
      </c>
      <c r="F30" s="13">
        <f t="shared" si="27"/>
        <v>-0.21892161229347618</v>
      </c>
      <c r="G30" s="13">
        <f t="shared" si="27"/>
        <v>-0.49037241389620523</v>
      </c>
      <c r="H30" s="13">
        <f t="shared" si="27"/>
        <v>-0.52024889176522726</v>
      </c>
      <c r="J30" s="11">
        <v>2020</v>
      </c>
      <c r="K30" s="13">
        <f t="shared" si="28"/>
        <v>-5.8624137867876569E-2</v>
      </c>
      <c r="L30" s="13">
        <f t="shared" si="28"/>
        <v>-0.38578366040383816</v>
      </c>
      <c r="M30" s="13">
        <f t="shared" si="28"/>
        <v>-0.34753336652904787</v>
      </c>
      <c r="N30" s="13">
        <f t="shared" si="28"/>
        <v>-0.21892161229347618</v>
      </c>
      <c r="O30" s="13">
        <f t="shared" si="28"/>
        <v>-0.49037241389620523</v>
      </c>
      <c r="P30" s="13">
        <f t="shared" si="28"/>
        <v>-0.52024889176522726</v>
      </c>
      <c r="Q30" s="13"/>
      <c r="R30" s="22">
        <f t="shared" si="29"/>
        <v>0</v>
      </c>
      <c r="S30" s="22">
        <f t="shared" si="30"/>
        <v>0</v>
      </c>
      <c r="T30" s="22">
        <f t="shared" si="31"/>
        <v>0</v>
      </c>
      <c r="U30" s="22">
        <f t="shared" si="32"/>
        <v>0</v>
      </c>
      <c r="V30" s="22">
        <f t="shared" si="33"/>
        <v>0</v>
      </c>
      <c r="W30" s="22">
        <f t="shared" si="34"/>
        <v>0</v>
      </c>
    </row>
    <row r="31" spans="2:23" s="6" customFormat="1" x14ac:dyDescent="0.15">
      <c r="B31" s="11">
        <f>B13</f>
        <v>2021</v>
      </c>
      <c r="C31" s="13">
        <f t="shared" si="27"/>
        <v>5.9156366069234467E-2</v>
      </c>
      <c r="D31" s="13">
        <f t="shared" si="27"/>
        <v>0.31238519727007574</v>
      </c>
      <c r="E31" s="13">
        <f t="shared" si="27"/>
        <v>0.23908540732340544</v>
      </c>
      <c r="F31" s="13">
        <f t="shared" si="27"/>
        <v>0.17680102369622097</v>
      </c>
      <c r="G31" s="13">
        <f t="shared" si="27"/>
        <v>0.45815697578523262</v>
      </c>
      <c r="H31" s="13">
        <f t="shared" si="27"/>
        <v>0.54441624363119168</v>
      </c>
      <c r="J31" s="11">
        <v>2021</v>
      </c>
      <c r="K31" s="13">
        <f t="shared" si="28"/>
        <v>5.9156366069234467E-2</v>
      </c>
      <c r="L31" s="13">
        <f t="shared" si="28"/>
        <v>0.31238519727007574</v>
      </c>
      <c r="M31" s="13">
        <f t="shared" si="28"/>
        <v>0.23908540732340544</v>
      </c>
      <c r="N31" s="13">
        <f t="shared" si="28"/>
        <v>0.17680102369622097</v>
      </c>
      <c r="O31" s="13">
        <f t="shared" si="28"/>
        <v>0.45815697578523262</v>
      </c>
      <c r="P31" s="13">
        <f t="shared" si="28"/>
        <v>0.54441624363119168</v>
      </c>
      <c r="Q31" s="13"/>
      <c r="R31" s="22">
        <f t="shared" si="29"/>
        <v>0</v>
      </c>
      <c r="S31" s="22">
        <f t="shared" si="30"/>
        <v>0</v>
      </c>
      <c r="T31" s="22">
        <f t="shared" si="31"/>
        <v>0</v>
      </c>
      <c r="U31" s="22">
        <f t="shared" si="32"/>
        <v>0</v>
      </c>
      <c r="V31" s="22">
        <f t="shared" si="33"/>
        <v>0</v>
      </c>
      <c r="W31" s="22">
        <f t="shared" si="34"/>
        <v>0</v>
      </c>
    </row>
    <row r="32" spans="2:23" s="6" customFormat="1" outlineLevel="1" x14ac:dyDescent="0.15">
      <c r="B32" s="11">
        <f>B14</f>
        <v>2022</v>
      </c>
      <c r="C32" s="13">
        <f t="shared" si="27"/>
        <v>3.7161520180857055E-2</v>
      </c>
      <c r="D32" s="13">
        <f t="shared" si="27"/>
        <v>0.14950565375244596</v>
      </c>
      <c r="E32" s="13">
        <f t="shared" si="27"/>
        <v>0.10831884078383358</v>
      </c>
      <c r="F32" s="13">
        <f t="shared" si="27"/>
        <v>0.20583345916757323</v>
      </c>
      <c r="G32" s="13">
        <f t="shared" si="27"/>
        <v>0.33644794164296488</v>
      </c>
      <c r="H32" s="13">
        <f t="shared" si="27"/>
        <v>0.38611237879699467</v>
      </c>
      <c r="J32" s="11">
        <v>2022</v>
      </c>
      <c r="K32" s="13">
        <f t="shared" si="28"/>
        <v>3.7161520180857055E-2</v>
      </c>
      <c r="L32" s="13">
        <f t="shared" si="28"/>
        <v>0.14950565375244596</v>
      </c>
      <c r="M32" s="13">
        <f t="shared" si="28"/>
        <v>0.10831884078383358</v>
      </c>
      <c r="N32" s="13">
        <f t="shared" si="28"/>
        <v>0.20583345916757323</v>
      </c>
      <c r="O32" s="13">
        <f t="shared" si="28"/>
        <v>0.33644794164296488</v>
      </c>
      <c r="P32" s="13">
        <f t="shared" si="28"/>
        <v>0.38611237879699467</v>
      </c>
      <c r="Q32" s="13"/>
      <c r="R32" s="22">
        <f t="shared" si="29"/>
        <v>0</v>
      </c>
      <c r="S32" s="22">
        <f t="shared" si="30"/>
        <v>0</v>
      </c>
      <c r="T32" s="22">
        <f t="shared" si="31"/>
        <v>0</v>
      </c>
      <c r="U32" s="22">
        <f t="shared" si="32"/>
        <v>0</v>
      </c>
      <c r="V32" s="22">
        <f t="shared" si="33"/>
        <v>0</v>
      </c>
      <c r="W32" s="22">
        <f t="shared" si="34"/>
        <v>0</v>
      </c>
    </row>
    <row r="33" spans="2:23" s="6" customFormat="1" outlineLevel="1" x14ac:dyDescent="0.15">
      <c r="B33" s="11">
        <v>2023</v>
      </c>
      <c r="C33" s="13">
        <f t="shared" si="27"/>
        <v>1.1584626966759215E-2</v>
      </c>
      <c r="D33" s="13">
        <f t="shared" si="27"/>
        <v>7.249589836994641E-3</v>
      </c>
      <c r="E33" s="13">
        <f t="shared" si="27"/>
        <v>-4.2853924567468615E-3</v>
      </c>
      <c r="F33" s="13">
        <f t="shared" si="27"/>
        <v>3.324034452792124E-2</v>
      </c>
      <c r="G33" s="13">
        <f t="shared" si="27"/>
        <v>2.8812504149474671E-2</v>
      </c>
      <c r="H33" s="13">
        <f t="shared" si="27"/>
        <v>4.073091322878386E-2</v>
      </c>
      <c r="J33" s="11">
        <v>2023</v>
      </c>
      <c r="K33" s="13">
        <f t="shared" si="28"/>
        <v>1.1584626966759215E-2</v>
      </c>
      <c r="L33" s="13">
        <f t="shared" si="28"/>
        <v>7.249589836994641E-3</v>
      </c>
      <c r="M33" s="13">
        <f t="shared" si="28"/>
        <v>-4.2853924567468615E-3</v>
      </c>
      <c r="N33" s="13">
        <f t="shared" si="28"/>
        <v>3.324034452792124E-2</v>
      </c>
      <c r="O33" s="13">
        <f t="shared" si="28"/>
        <v>2.8812504149474671E-2</v>
      </c>
      <c r="P33" s="13">
        <f t="shared" si="28"/>
        <v>4.073091322878386E-2</v>
      </c>
      <c r="Q33" s="13"/>
      <c r="R33" s="22">
        <f t="shared" si="29"/>
        <v>0</v>
      </c>
      <c r="S33" s="22">
        <f t="shared" si="30"/>
        <v>0</v>
      </c>
      <c r="T33" s="22">
        <f t="shared" si="31"/>
        <v>0</v>
      </c>
      <c r="U33" s="22">
        <f t="shared" si="32"/>
        <v>0</v>
      </c>
      <c r="V33" s="22">
        <f t="shared" si="33"/>
        <v>0</v>
      </c>
      <c r="W33" s="22">
        <f t="shared" si="34"/>
        <v>0</v>
      </c>
    </row>
    <row r="34" spans="2:23" s="6" customFormat="1" outlineLevel="1" x14ac:dyDescent="0.15">
      <c r="B34" s="11">
        <v>2024</v>
      </c>
      <c r="C34" s="13">
        <f t="shared" ref="C34:H39" si="35">C16/C15-1</f>
        <v>7.0902150416274345E-3</v>
      </c>
      <c r="D34" s="13">
        <f t="shared" si="35"/>
        <v>6.7520347403460246E-3</v>
      </c>
      <c r="E34" s="13">
        <f t="shared" si="35"/>
        <v>-3.3579941124473045E-4</v>
      </c>
      <c r="F34" s="13">
        <f t="shared" si="35"/>
        <v>-2.0633423319336264E-2</v>
      </c>
      <c r="G34" s="13">
        <f t="shared" si="35"/>
        <v>-2.0962294039178375E-2</v>
      </c>
      <c r="H34" s="13">
        <f t="shared" si="35"/>
        <v>-1.4020706170054575E-2</v>
      </c>
      <c r="J34" s="11">
        <v>2024</v>
      </c>
      <c r="K34" s="13">
        <f t="shared" si="28"/>
        <v>7.0902150416274345E-3</v>
      </c>
      <c r="L34" s="13">
        <f t="shared" si="28"/>
        <v>6.7520347403460246E-3</v>
      </c>
      <c r="M34" s="13">
        <f t="shared" si="28"/>
        <v>-3.3579941124473045E-4</v>
      </c>
      <c r="N34" s="13">
        <f t="shared" si="28"/>
        <v>-2.0633423319336264E-2</v>
      </c>
      <c r="O34" s="13">
        <f t="shared" si="28"/>
        <v>-2.0962294039178375E-2</v>
      </c>
      <c r="P34" s="13">
        <f t="shared" si="28"/>
        <v>-1.4020706170054575E-2</v>
      </c>
      <c r="Q34" s="13"/>
      <c r="R34" s="22">
        <f t="shared" si="29"/>
        <v>0</v>
      </c>
      <c r="S34" s="22">
        <f t="shared" si="30"/>
        <v>0</v>
      </c>
      <c r="T34" s="22">
        <f t="shared" si="31"/>
        <v>0</v>
      </c>
      <c r="U34" s="22">
        <f t="shared" si="32"/>
        <v>0</v>
      </c>
      <c r="V34" s="22">
        <f t="shared" si="33"/>
        <v>0</v>
      </c>
      <c r="W34" s="22">
        <f t="shared" si="34"/>
        <v>0</v>
      </c>
    </row>
    <row r="35" spans="2:23" s="6" customFormat="1" outlineLevel="1" x14ac:dyDescent="0.15">
      <c r="B35" s="11">
        <v>2025</v>
      </c>
      <c r="C35" s="13">
        <f t="shared" si="35"/>
        <v>4.7788080971797875E-3</v>
      </c>
      <c r="D35" s="13">
        <f t="shared" si="35"/>
        <v>8.4658471170027116E-3</v>
      </c>
      <c r="E35" s="13">
        <f t="shared" si="35"/>
        <v>3.6695031683693369E-3</v>
      </c>
      <c r="F35" s="13">
        <f t="shared" si="35"/>
        <v>1.1949066770324146E-2</v>
      </c>
      <c r="G35" s="13">
        <f t="shared" si="35"/>
        <v>1.5662417077066282E-2</v>
      </c>
      <c r="H35" s="13">
        <f t="shared" si="35"/>
        <v>2.0516072859795287E-2</v>
      </c>
      <c r="J35" s="11">
        <v>2025</v>
      </c>
      <c r="K35" s="13">
        <f t="shared" si="28"/>
        <v>4.7788080971797875E-3</v>
      </c>
      <c r="L35" s="13">
        <f t="shared" si="28"/>
        <v>8.4658471170027116E-3</v>
      </c>
      <c r="M35" s="13">
        <f t="shared" si="28"/>
        <v>3.6695031683693369E-3</v>
      </c>
      <c r="N35" s="13">
        <f t="shared" si="28"/>
        <v>1.1949066770324146E-2</v>
      </c>
      <c r="O35" s="13">
        <f t="shared" si="28"/>
        <v>1.5662417077066282E-2</v>
      </c>
      <c r="P35" s="13">
        <f t="shared" si="28"/>
        <v>2.0516072859795287E-2</v>
      </c>
      <c r="Q35" s="13"/>
      <c r="R35" s="22">
        <f t="shared" si="29"/>
        <v>0</v>
      </c>
      <c r="S35" s="22">
        <f t="shared" si="30"/>
        <v>0</v>
      </c>
      <c r="T35" s="22">
        <f t="shared" si="31"/>
        <v>0</v>
      </c>
      <c r="U35" s="22">
        <f t="shared" si="32"/>
        <v>0</v>
      </c>
      <c r="V35" s="22">
        <f t="shared" si="33"/>
        <v>0</v>
      </c>
      <c r="W35" s="22">
        <f t="shared" si="34"/>
        <v>0</v>
      </c>
    </row>
    <row r="36" spans="2:23" s="6" customFormat="1" outlineLevel="1" x14ac:dyDescent="0.15">
      <c r="B36" s="11">
        <v>2026</v>
      </c>
      <c r="C36" s="13">
        <f t="shared" si="35"/>
        <v>2.2559753794721971E-3</v>
      </c>
      <c r="D36" s="13">
        <f t="shared" si="35"/>
        <v>2.2335118149823474E-2</v>
      </c>
      <c r="E36" s="13">
        <f t="shared" si="35"/>
        <v>2.0033946679887782E-2</v>
      </c>
      <c r="F36" s="13">
        <f t="shared" si="35"/>
        <v>2.9005216821017976E-2</v>
      </c>
      <c r="G36" s="13">
        <f t="shared" si="35"/>
        <v>4.9620252468136172E-2</v>
      </c>
      <c r="H36" s="13">
        <f t="shared" si="35"/>
        <v>5.1988169915500038E-2</v>
      </c>
      <c r="J36" s="11">
        <v>2026</v>
      </c>
      <c r="K36" s="13">
        <f t="shared" si="28"/>
        <v>1.1012687289722489E-2</v>
      </c>
      <c r="L36" s="13">
        <f t="shared" si="28"/>
        <v>1.2398924769480235E-2</v>
      </c>
      <c r="M36" s="13">
        <f t="shared" si="28"/>
        <v>1.3711375704632545E-3</v>
      </c>
      <c r="N36" s="13">
        <f t="shared" si="28"/>
        <v>2.2481326140301183E-2</v>
      </c>
      <c r="O36" s="13">
        <f t="shared" si="28"/>
        <v>2.3883288701669114E-2</v>
      </c>
      <c r="P36" s="13">
        <f t="shared" si="28"/>
        <v>3.5158995181313157E-2</v>
      </c>
      <c r="Q36" s="13"/>
      <c r="R36" s="22">
        <f t="shared" si="29"/>
        <v>-8.7567119102502922E-3</v>
      </c>
      <c r="S36" s="22">
        <f t="shared" si="30"/>
        <v>9.936193380343239E-3</v>
      </c>
      <c r="T36" s="22">
        <f t="shared" si="31"/>
        <v>1.8662809109424527E-2</v>
      </c>
      <c r="U36" s="22">
        <f t="shared" si="32"/>
        <v>6.5238906807167929E-3</v>
      </c>
      <c r="V36" s="22">
        <f t="shared" si="33"/>
        <v>2.5736963766467058E-2</v>
      </c>
      <c r="W36" s="22">
        <f t="shared" si="34"/>
        <v>1.682917473418688E-2</v>
      </c>
    </row>
    <row r="37" spans="2:23" s="6" customFormat="1" outlineLevel="1" x14ac:dyDescent="0.15">
      <c r="B37" s="11">
        <v>2027</v>
      </c>
      <c r="C37" s="13">
        <f t="shared" si="35"/>
        <v>1.0532511217674401E-2</v>
      </c>
      <c r="D37" s="13">
        <f t="shared" si="35"/>
        <v>7.8167410541234439E-3</v>
      </c>
      <c r="E37" s="13">
        <f t="shared" si="35"/>
        <v>-2.6874644144587734E-3</v>
      </c>
      <c r="F37" s="13">
        <f t="shared" si="35"/>
        <v>1.0086055503746749E-2</v>
      </c>
      <c r="G37" s="13">
        <f t="shared" si="35"/>
        <v>7.371485174039849E-3</v>
      </c>
      <c r="H37" s="13">
        <f t="shared" si="35"/>
        <v>1.7981636642000476E-2</v>
      </c>
      <c r="J37" s="11">
        <v>2027</v>
      </c>
      <c r="K37" s="13">
        <f t="shared" si="28"/>
        <v>1.2039257194283781E-2</v>
      </c>
      <c r="L37" s="13">
        <f t="shared" si="28"/>
        <v>1.3872143312065432E-2</v>
      </c>
      <c r="M37" s="13">
        <f t="shared" si="28"/>
        <v>1.8110820353578472E-3</v>
      </c>
      <c r="N37" s="13">
        <f t="shared" si="28"/>
        <v>8.0780587068669529E-3</v>
      </c>
      <c r="O37" s="13">
        <f t="shared" si="28"/>
        <v>9.9037707692293253E-3</v>
      </c>
      <c r="P37" s="13">
        <f t="shared" si="28"/>
        <v>2.2062262006997235E-2</v>
      </c>
      <c r="Q37" s="13"/>
      <c r="R37" s="22">
        <f t="shared" si="29"/>
        <v>-1.5067459766093805E-3</v>
      </c>
      <c r="S37" s="22">
        <f t="shared" si="30"/>
        <v>-6.0554022579419886E-3</v>
      </c>
      <c r="T37" s="22">
        <f t="shared" si="31"/>
        <v>-4.4985464498166206E-3</v>
      </c>
      <c r="U37" s="22">
        <f t="shared" si="32"/>
        <v>2.0079967968797963E-3</v>
      </c>
      <c r="V37" s="22">
        <f t="shared" si="33"/>
        <v>-2.5322855951894763E-3</v>
      </c>
      <c r="W37" s="22">
        <f t="shared" si="34"/>
        <v>-4.0806253649967594E-3</v>
      </c>
    </row>
    <row r="38" spans="2:23" s="6" customFormat="1" outlineLevel="1" x14ac:dyDescent="0.15">
      <c r="B38" s="11">
        <v>2028</v>
      </c>
      <c r="C38" s="13">
        <f t="shared" si="35"/>
        <v>1.7393231366394479E-2</v>
      </c>
      <c r="D38" s="13">
        <f t="shared" si="35"/>
        <v>1.7545173380497214E-2</v>
      </c>
      <c r="E38" s="13">
        <f t="shared" si="35"/>
        <v>1.4934443184633217E-4</v>
      </c>
      <c r="F38" s="13">
        <f t="shared" si="35"/>
        <v>1.6261343947831408E-2</v>
      </c>
      <c r="G38" s="13">
        <f t="shared" si="35"/>
        <v>1.6413116920850568E-2</v>
      </c>
      <c r="H38" s="13">
        <f t="shared" si="35"/>
        <v>3.4091825427293054E-2</v>
      </c>
      <c r="J38" s="11">
        <v>2028</v>
      </c>
      <c r="K38" s="13">
        <f t="shared" si="28"/>
        <v>8.7974043545619995E-3</v>
      </c>
      <c r="L38" s="13">
        <f t="shared" si="28"/>
        <v>1.7836301534671861E-2</v>
      </c>
      <c r="M38" s="13">
        <f t="shared" si="28"/>
        <v>8.9600718053917117E-3</v>
      </c>
      <c r="N38" s="13">
        <f t="shared" si="28"/>
        <v>2.0684789804381154E-2</v>
      </c>
      <c r="O38" s="13">
        <f t="shared" si="28"/>
        <v>2.9830198811700015E-2</v>
      </c>
      <c r="P38" s="13">
        <f t="shared" si="28"/>
        <v>3.8890031487185173E-2</v>
      </c>
      <c r="Q38" s="13"/>
      <c r="R38" s="22">
        <f t="shared" si="29"/>
        <v>8.5958270118324798E-3</v>
      </c>
      <c r="S38" s="22">
        <f t="shared" si="30"/>
        <v>-2.9112815417464688E-4</v>
      </c>
      <c r="T38" s="22">
        <f t="shared" si="31"/>
        <v>-8.8107273735453795E-3</v>
      </c>
      <c r="U38" s="22">
        <f t="shared" si="32"/>
        <v>-4.4234458565497459E-3</v>
      </c>
      <c r="V38" s="22">
        <f t="shared" si="33"/>
        <v>-1.3417081890849447E-2</v>
      </c>
      <c r="W38" s="22">
        <f t="shared" si="34"/>
        <v>-4.7982060598921183E-3</v>
      </c>
    </row>
    <row r="39" spans="2:23" s="6" customFormat="1" outlineLevel="1" x14ac:dyDescent="0.15">
      <c r="B39" s="11">
        <v>2029</v>
      </c>
      <c r="C39" s="13">
        <f t="shared" si="35"/>
        <v>7.8539627378730881E-3</v>
      </c>
      <c r="D39" s="13">
        <f t="shared" si="35"/>
        <v>1.7459236440884762E-2</v>
      </c>
      <c r="E39" s="13">
        <f t="shared" si="35"/>
        <v>9.5304221227827668E-3</v>
      </c>
      <c r="F39" s="13">
        <f t="shared" si="35"/>
        <v>1.8100623297476748E-2</v>
      </c>
      <c r="G39" s="13">
        <f t="shared" si="35"/>
        <v>2.7803552000970067E-2</v>
      </c>
      <c r="H39" s="13">
        <f t="shared" si="35"/>
        <v>3.5875882800239456E-2</v>
      </c>
      <c r="J39" s="11">
        <v>2029</v>
      </c>
      <c r="K39" s="13">
        <f t="shared" si="28"/>
        <v>7.8513849232566546E-3</v>
      </c>
      <c r="L39" s="13">
        <f t="shared" si="28"/>
        <v>1.6863074754860152E-2</v>
      </c>
      <c r="M39" s="13">
        <f t="shared" si="28"/>
        <v>8.9414867771300255E-3</v>
      </c>
      <c r="N39" s="13">
        <f t="shared" si="28"/>
        <v>1.7309705074531889E-2</v>
      </c>
      <c r="O39" s="13">
        <f t="shared" si="28"/>
        <v>2.6405966350701915E-2</v>
      </c>
      <c r="P39" s="13">
        <f t="shared" si="28"/>
        <v>3.4464674680048768E-2</v>
      </c>
      <c r="Q39" s="13"/>
      <c r="R39" s="22">
        <f t="shared" ref="R39" si="36">C39-K39</f>
        <v>2.5778146164334714E-6</v>
      </c>
      <c r="S39" s="22">
        <f t="shared" ref="S39" si="37">D39-L39</f>
        <v>5.9616168602460995E-4</v>
      </c>
      <c r="T39" s="22">
        <f t="shared" ref="T39" si="38">E39-M39</f>
        <v>5.889353456527413E-4</v>
      </c>
      <c r="U39" s="22">
        <f t="shared" ref="U39" si="39">F39-N39</f>
        <v>7.9091822294485858E-4</v>
      </c>
      <c r="V39" s="22">
        <f t="shared" ref="V39" si="40">G39-O39</f>
        <v>1.3975856502681516E-3</v>
      </c>
      <c r="W39" s="22">
        <f t="shared" ref="W39" si="41">H39-P39</f>
        <v>1.4112081201906879E-3</v>
      </c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41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AB89-B20F-4C3D-AFC6-37F2749007FB}">
  <sheetPr>
    <tabColor theme="4" tint="0.79998168889431442"/>
  </sheetPr>
  <dimension ref="B1:W50"/>
  <sheetViews>
    <sheetView zoomScale="150" zoomScaleNormal="150" workbookViewId="0">
      <selection activeCell="T68" sqref="T68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1.83203125" style="1" bestFit="1" customWidth="1"/>
    <col min="9" max="9" width="4.6640625" style="1" customWidth="1"/>
    <col min="10" max="10" width="5.6640625" style="1" bestFit="1" customWidth="1"/>
    <col min="11" max="11" width="6.33203125" style="1" bestFit="1" customWidth="1"/>
    <col min="12" max="12" width="8.1640625" style="1" bestFit="1" customWidth="1"/>
    <col min="13" max="13" width="8" style="1" bestFit="1" customWidth="1"/>
    <col min="14" max="15" width="6.5" style="1" bestFit="1" customWidth="1"/>
    <col min="16" max="16" width="11.83203125" style="1" bestFit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tr">
        <f>"Forecast summary: Annual, Gateway Regions*"</f>
        <v>Forecast summary: Annual, Gateway Regions*</v>
      </c>
    </row>
    <row r="2" spans="2:23" s="6" customFormat="1" ht="11.5" customHeight="1" x14ac:dyDescent="0.15">
      <c r="K2" s="28" t="s">
        <v>19</v>
      </c>
      <c r="L2" s="28"/>
      <c r="M2" s="28"/>
      <c r="N2" s="28"/>
      <c r="O2" s="28"/>
      <c r="P2" s="28"/>
      <c r="Q2" s="29"/>
      <c r="R2" s="28" t="s">
        <v>26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24</v>
      </c>
      <c r="D3" s="8" t="s">
        <v>25</v>
      </c>
      <c r="E3" s="8" t="s">
        <v>17</v>
      </c>
      <c r="F3" s="8" t="s">
        <v>20</v>
      </c>
      <c r="G3" s="8" t="s">
        <v>21</v>
      </c>
      <c r="H3" s="8" t="s">
        <v>18</v>
      </c>
      <c r="K3" s="8" t="s">
        <v>24</v>
      </c>
      <c r="L3" s="8" t="s">
        <v>25</v>
      </c>
      <c r="M3" s="8" t="s">
        <v>17</v>
      </c>
      <c r="N3" s="8" t="s">
        <v>20</v>
      </c>
      <c r="O3" s="8" t="s">
        <v>21</v>
      </c>
      <c r="P3" s="8" t="s">
        <v>18</v>
      </c>
      <c r="Q3" s="18"/>
      <c r="R3" s="8" t="s">
        <v>24</v>
      </c>
      <c r="S3" s="8" t="s">
        <v>25</v>
      </c>
      <c r="T3" s="8" t="s">
        <v>17</v>
      </c>
      <c r="U3" s="8" t="s">
        <v>20</v>
      </c>
      <c r="V3" s="8" t="s">
        <v>21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f>SUM('Los Angeles'!C5,'Orange County'!C5,'San Diego'!C5,'San Francisco Bay Area'!C5)</f>
        <v>325856.58959371585</v>
      </c>
      <c r="D5" s="12">
        <f>SUM('Los Angeles'!D5,'Orange County'!D5,'San Diego'!D5,'San Francisco Bay Area'!D5)</f>
        <v>158764.73749453021</v>
      </c>
      <c r="E5" s="13">
        <f t="shared" ref="E5:E9" si="0">D5/C5</f>
        <v>0.48722273099488672</v>
      </c>
      <c r="F5" s="14" t="e">
        <f t="shared" ref="F5:F9" si="1">H5/(D5*365)</f>
        <v>#DIV/0!</v>
      </c>
      <c r="G5" s="14" t="e">
        <f t="shared" ref="G5:G9" si="2">(H5/365)/C5</f>
        <v>#DIV/0!</v>
      </c>
      <c r="H5" s="15" t="e">
        <f>SUM('Los Angeles'!H5,'Orange County'!H5,'San Diego'!H5,'San Francisco Bay Area'!H5)</f>
        <v>#DIV/0!</v>
      </c>
      <c r="J5" s="5"/>
      <c r="K5" s="12">
        <v>325856.58959371585</v>
      </c>
      <c r="L5" s="12">
        <v>158764.73749453021</v>
      </c>
      <c r="M5" s="23">
        <v>0.48722273099488672</v>
      </c>
      <c r="N5" s="14" t="e">
        <v>#DIV/0!</v>
      </c>
      <c r="O5" s="14" t="e">
        <v>#DIV/0!</v>
      </c>
      <c r="P5" s="15" t="e">
        <v>#DIV/0!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f>SUM('Los Angeles'!C6,'Orange County'!C6,'San Diego'!C6,'San Francisco Bay Area'!C6)</f>
        <v>328224.24579047685</v>
      </c>
      <c r="D6" s="12">
        <f>SUM('Los Angeles'!D6,'Orange County'!D6,'San Diego'!D6,'San Francisco Bay Area'!D6)</f>
        <v>255051.62094975193</v>
      </c>
      <c r="E6" s="13">
        <f t="shared" si="0"/>
        <v>0.77706514439693486</v>
      </c>
      <c r="F6" s="14">
        <f t="shared" si="1"/>
        <v>154.3014761394158</v>
      </c>
      <c r="G6" s="14">
        <f t="shared" si="2"/>
        <v>119.90229883693533</v>
      </c>
      <c r="H6" s="15">
        <f>SUM('Los Angeles'!H6,'Orange County'!H6,'San Diego'!H6,'San Francisco Bay Area'!H6)</f>
        <v>14364517185.568575</v>
      </c>
      <c r="J6" s="5"/>
      <c r="K6" s="12">
        <v>328224.24579047685</v>
      </c>
      <c r="L6" s="12">
        <v>255051.62094975193</v>
      </c>
      <c r="M6" s="23">
        <v>0.77706514439693486</v>
      </c>
      <c r="N6" s="14">
        <v>154.3014761394158</v>
      </c>
      <c r="O6" s="14">
        <v>119.90229883693533</v>
      </c>
      <c r="P6" s="15">
        <v>14364517185.568575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f>SUM('Los Angeles'!C7,'Orange County'!C7,'San Diego'!C7,'San Francisco Bay Area'!C7)</f>
        <v>330151.25</v>
      </c>
      <c r="D7" s="12">
        <f>SUM('Los Angeles'!D7,'Orange County'!D7,'San Diego'!D7,'San Francisco Bay Area'!D7)</f>
        <v>261461.16032709531</v>
      </c>
      <c r="E7" s="13">
        <f t="shared" si="0"/>
        <v>0.79194357230843526</v>
      </c>
      <c r="F7" s="14">
        <f t="shared" si="1"/>
        <v>166.22049002235789</v>
      </c>
      <c r="G7" s="14">
        <f t="shared" si="2"/>
        <v>131.63724865916473</v>
      </c>
      <c r="H7" s="15">
        <f>SUM('Los Angeles'!H7,'Orange County'!H7,'San Diego'!H7,'San Francisco Bay Area'!H7)</f>
        <v>15862973799.855183</v>
      </c>
      <c r="J7" s="5"/>
      <c r="K7" s="12">
        <v>330151.25</v>
      </c>
      <c r="L7" s="12">
        <v>261461.16032709531</v>
      </c>
      <c r="M7" s="23">
        <v>0.79194357230843526</v>
      </c>
      <c r="N7" s="14">
        <v>166.22049002235789</v>
      </c>
      <c r="O7" s="14">
        <v>131.63724865916473</v>
      </c>
      <c r="P7" s="15">
        <v>15862973799.855183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f>SUM('Los Angeles'!C8,'Orange County'!C8,'San Diego'!C8,'San Francisco Bay Area'!C8)</f>
        <v>332995.16666666663</v>
      </c>
      <c r="D8" s="12">
        <f>SUM('Los Angeles'!D8,'Orange County'!D8,'San Diego'!D8,'San Francisco Bay Area'!D8)</f>
        <v>264686.39169326716</v>
      </c>
      <c r="E8" s="13">
        <f t="shared" si="0"/>
        <v>0.79486556619670812</v>
      </c>
      <c r="F8" s="14">
        <f t="shared" si="1"/>
        <v>175.78716016652444</v>
      </c>
      <c r="G8" s="14">
        <f t="shared" si="2"/>
        <v>139.72716059587586</v>
      </c>
      <c r="H8" s="15">
        <f>SUM('Los Angeles'!H8,'Orange County'!H8,'San Diego'!H8,'San Francisco Bay Area'!H8)</f>
        <v>16982891232.626577</v>
      </c>
      <c r="J8" s="5"/>
      <c r="K8" s="12">
        <v>332995.16666666663</v>
      </c>
      <c r="L8" s="12">
        <v>264686.39169326716</v>
      </c>
      <c r="M8" s="23">
        <v>0.79486556619670812</v>
      </c>
      <c r="N8" s="14">
        <v>175.78716016652444</v>
      </c>
      <c r="O8" s="14">
        <v>139.72716059587586</v>
      </c>
      <c r="P8" s="15">
        <v>16982891232.626577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f>SUM('Los Angeles'!C9,'Orange County'!C9,'San Diego'!C9,'San Francisco Bay Area'!C9)</f>
        <v>337962.75</v>
      </c>
      <c r="D9" s="12">
        <f>SUM('Los Angeles'!D9,'Orange County'!D9,'San Diego'!D9,'San Francisco Bay Area'!D9)</f>
        <v>266779.15692633507</v>
      </c>
      <c r="E9" s="13">
        <f t="shared" si="0"/>
        <v>0.78937444119606393</v>
      </c>
      <c r="F9" s="14">
        <f t="shared" si="1"/>
        <v>179.09453452722602</v>
      </c>
      <c r="G9" s="14">
        <f t="shared" si="2"/>
        <v>141.37264811369826</v>
      </c>
      <c r="H9" s="15">
        <f>SUM('Los Angeles'!H9,'Orange County'!H9,'San Diego'!H9,'San Francisco Bay Area'!H9)</f>
        <v>17439221459.920036</v>
      </c>
      <c r="J9" s="5"/>
      <c r="K9" s="12">
        <v>337962.75</v>
      </c>
      <c r="L9" s="12">
        <v>266779.15692633507</v>
      </c>
      <c r="M9" s="23">
        <v>0.78937444119606393</v>
      </c>
      <c r="N9" s="14">
        <v>179.09453452722602</v>
      </c>
      <c r="O9" s="14">
        <v>141.37264811369826</v>
      </c>
      <c r="P9" s="15">
        <v>17439221459.920036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f>SUM('Los Angeles'!C10,'Orange County'!C10,'San Diego'!C10,'San Francisco Bay Area'!C10)</f>
        <v>343724.66666666669</v>
      </c>
      <c r="D10" s="12">
        <f>SUM('Los Angeles'!D10,'Orange County'!D10,'San Diego'!D10,'San Francisco Bay Area'!D10)</f>
        <v>271404.72814900131</v>
      </c>
      <c r="E10" s="13">
        <f>D10/C10</f>
        <v>0.78959921841222125</v>
      </c>
      <c r="F10" s="14">
        <f>H10/(D10*365)</f>
        <v>186.1715249292354</v>
      </c>
      <c r="G10" s="14">
        <f>(H10/365)/C10</f>
        <v>147.00089057473568</v>
      </c>
      <c r="H10" s="15">
        <f>SUM('Los Angeles'!H10,'Orange County'!H10,'San Diego'!H10,'San Francisco Bay Area'!H10)</f>
        <v>18442658721.064018</v>
      </c>
      <c r="J10" s="5"/>
      <c r="K10" s="12">
        <v>343724.66666666669</v>
      </c>
      <c r="L10" s="12">
        <v>271404.72814900131</v>
      </c>
      <c r="M10" s="23">
        <v>0.78959921841222125</v>
      </c>
      <c r="N10" s="14">
        <v>186.1715249292354</v>
      </c>
      <c r="O10" s="14">
        <v>147.00089057473568</v>
      </c>
      <c r="P10" s="15">
        <v>18442658721.064018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f>SUM('Los Angeles'!C11,'Orange County'!C11,'San Diego'!C11,'San Francisco Bay Area'!C11)</f>
        <v>354151.25</v>
      </c>
      <c r="D11" s="12">
        <f>SUM('Los Angeles'!D11,'Orange County'!D11,'San Diego'!D11,'San Francisco Bay Area'!D11)</f>
        <v>278551.11220900004</v>
      </c>
      <c r="E11" s="13">
        <f t="shared" ref="E11:E15" si="3">D11/C11</f>
        <v>0.78653149525520538</v>
      </c>
      <c r="F11" s="14">
        <f t="shared" ref="F11:F18" si="4">H11/(D11*365)</f>
        <v>185.86268910722123</v>
      </c>
      <c r="G11" s="14">
        <f t="shared" ref="G11:G13" si="5">(H11/365)/C11</f>
        <v>146.18685877565608</v>
      </c>
      <c r="H11" s="15">
        <f>SUM('Los Angeles'!H11,'Orange County'!H11,'San Diego'!H11,'San Francisco Bay Area'!H11)</f>
        <v>18896874450.674805</v>
      </c>
      <c r="J11" s="11">
        <v>2019</v>
      </c>
      <c r="K11" s="12">
        <v>354151.25</v>
      </c>
      <c r="L11" s="12">
        <v>278551.11220900004</v>
      </c>
      <c r="M11" s="23">
        <v>0.78653149525520538</v>
      </c>
      <c r="N11" s="14">
        <v>185.86268910722123</v>
      </c>
      <c r="O11" s="14">
        <v>146.18685877565608</v>
      </c>
      <c r="P11" s="15">
        <v>18896874450.674805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f>SUM('Los Angeles'!C12,'Orange County'!C12,'San Diego'!C12,'San Francisco Bay Area'!C12)</f>
        <v>322574</v>
      </c>
      <c r="D12" s="12">
        <f>SUM('Los Angeles'!D12,'Orange County'!D12,'San Diego'!D12,'San Francisco Bay Area'!D12)</f>
        <v>150621.69459716664</v>
      </c>
      <c r="E12" s="13">
        <f t="shared" si="3"/>
        <v>0.46693687215078289</v>
      </c>
      <c r="F12" s="14">
        <f t="shared" si="4"/>
        <v>140.32627250473857</v>
      </c>
      <c r="G12" s="14">
        <f t="shared" si="5"/>
        <v>65.523510763941033</v>
      </c>
      <c r="H12" s="15">
        <f>SUM('Los Angeles'!H12,'Orange County'!H12,'San Diego'!H12,'San Francisco Bay Area'!H12)</f>
        <v>7714706050.8261433</v>
      </c>
      <c r="J12" s="11">
        <v>2020</v>
      </c>
      <c r="K12" s="12">
        <v>322574</v>
      </c>
      <c r="L12" s="12">
        <v>150621.69459716664</v>
      </c>
      <c r="M12" s="23">
        <v>0.46693687215078289</v>
      </c>
      <c r="N12" s="14">
        <v>140.32627250473857</v>
      </c>
      <c r="O12" s="14">
        <v>65.523510763941033</v>
      </c>
      <c r="P12" s="15">
        <v>7714706050.8261433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f>SUM('Los Angeles'!C13,'Orange County'!C13,'San Diego'!C13,'San Francisco Bay Area'!C13)</f>
        <v>345797.16666666669</v>
      </c>
      <c r="D13" s="12">
        <f>SUM('Los Angeles'!D13,'Orange County'!D13,'San Diego'!D13,'San Francisco Bay Area'!D13)</f>
        <v>202174.56976929074</v>
      </c>
      <c r="E13" s="13">
        <f t="shared" si="3"/>
        <v>0.58466230859600465</v>
      </c>
      <c r="F13" s="14">
        <f t="shared" si="4"/>
        <v>159.86598269350583</v>
      </c>
      <c r="G13" s="14">
        <f t="shared" si="5"/>
        <v>93.46761450755406</v>
      </c>
      <c r="H13" s="15">
        <f>SUM('Los Angeles'!H13,'Orange County'!H13,'San Diego'!H13,'San Francisco Bay Area'!H13)</f>
        <v>11797105239.208614</v>
      </c>
      <c r="J13" s="11">
        <v>2021</v>
      </c>
      <c r="K13" s="12">
        <v>345797.16666666669</v>
      </c>
      <c r="L13" s="12">
        <v>202174.56976929074</v>
      </c>
      <c r="M13" s="23">
        <v>0.58466230859600465</v>
      </c>
      <c r="N13" s="14">
        <v>159.86598269350583</v>
      </c>
      <c r="O13" s="14">
        <v>93.46761450755406</v>
      </c>
      <c r="P13" s="15">
        <v>11797105239.208614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f>SUM('Los Angeles'!C14,'Orange County'!C14,'San Diego'!C14,'San Francisco Bay Area'!C14)</f>
        <v>362946.41666666663</v>
      </c>
      <c r="D14" s="12">
        <f>SUM('Los Angeles'!D14,'Orange County'!D14,'San Diego'!D14,'San Francisco Bay Area'!D14)</f>
        <v>249151.45446630646</v>
      </c>
      <c r="E14" s="13">
        <f t="shared" si="3"/>
        <v>0.68646897455149547</v>
      </c>
      <c r="F14" s="14">
        <f t="shared" si="4"/>
        <v>197.94388042036431</v>
      </c>
      <c r="G14" s="14">
        <f t="shared" ref="G14:G15" si="6">(H14/365)/C14</f>
        <v>135.88233261091133</v>
      </c>
      <c r="H14" s="15">
        <f>SUM('Los Angeles'!H14,'Orange County'!H14,'San Diego'!H14,'San Francisco Bay Area'!H14)</f>
        <v>18001072083.945019</v>
      </c>
      <c r="J14" s="11">
        <v>2022</v>
      </c>
      <c r="K14" s="12">
        <v>362946.41666666663</v>
      </c>
      <c r="L14" s="12">
        <v>249151.45446630646</v>
      </c>
      <c r="M14" s="23">
        <v>0.68646897455149547</v>
      </c>
      <c r="N14" s="14">
        <v>197.94388042036431</v>
      </c>
      <c r="O14" s="14">
        <v>135.88233261091133</v>
      </c>
      <c r="P14" s="15">
        <v>18001072083.945019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f>SUM('Los Angeles'!C15,'Orange County'!C15,'San Diego'!C15,'San Francisco Bay Area'!C15)</f>
        <v>367897.04838709679</v>
      </c>
      <c r="D15" s="12">
        <f>SUM('Los Angeles'!D15,'Orange County'!D15,'San Diego'!D15,'San Francisco Bay Area'!D15)</f>
        <v>255187.67569422972</v>
      </c>
      <c r="E15" s="13">
        <f t="shared" si="3"/>
        <v>0.69363882317893555</v>
      </c>
      <c r="F15" s="14">
        <f t="shared" si="4"/>
        <v>206.39232287282559</v>
      </c>
      <c r="G15" s="14">
        <f t="shared" si="6"/>
        <v>143.16172795067362</v>
      </c>
      <c r="H15" s="15">
        <f>SUM('Los Angeles'!H15,'Orange County'!H15,'San Diego'!H15,'San Francisco Bay Area'!H15)</f>
        <v>19224103661.593018</v>
      </c>
      <c r="J15" s="11">
        <v>2023</v>
      </c>
      <c r="K15" s="12">
        <v>367897.04838709679</v>
      </c>
      <c r="L15" s="12">
        <v>255187.67569422972</v>
      </c>
      <c r="M15" s="23">
        <v>0.69363882317893555</v>
      </c>
      <c r="N15" s="14">
        <v>206.39232287282559</v>
      </c>
      <c r="O15" s="14">
        <v>143.16172795067362</v>
      </c>
      <c r="P15" s="15">
        <v>19224103661.593018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f>SUM('Los Angeles'!C16,'Orange County'!C16,'San Diego'!C16,'San Francisco Bay Area'!C16)</f>
        <v>369223.08333333337</v>
      </c>
      <c r="D16" s="12">
        <f>SUM('Los Angeles'!D16,'Orange County'!D16,'San Diego'!D16,'San Francisco Bay Area'!D16)</f>
        <v>258085.30056963646</v>
      </c>
      <c r="E16" s="13">
        <f t="shared" ref="E16" si="7">D16/C16</f>
        <v>0.69899557264852241</v>
      </c>
      <c r="F16" s="14">
        <f t="shared" si="4"/>
        <v>200.39062240530373</v>
      </c>
      <c r="G16" s="14">
        <f t="shared" ref="G16" si="8">(H16/365)/C16</f>
        <v>140.07215786158909</v>
      </c>
      <c r="H16" s="15">
        <f>SUM('Los Angeles'!H16,'Orange County'!H16,'San Diego'!H16,'San Francisco Bay Area'!H16)</f>
        <v>18877024015.405407</v>
      </c>
      <c r="J16" s="11">
        <v>2024</v>
      </c>
      <c r="K16" s="12">
        <v>369223.08333333337</v>
      </c>
      <c r="L16" s="12">
        <v>258085.30056963646</v>
      </c>
      <c r="M16" s="23">
        <v>0.69899557264852241</v>
      </c>
      <c r="N16" s="14">
        <v>200.39062240530373</v>
      </c>
      <c r="O16" s="14">
        <v>140.07215786158909</v>
      </c>
      <c r="P16" s="15">
        <v>18877024015.405407</v>
      </c>
      <c r="Q16" s="12"/>
      <c r="R16" s="25"/>
      <c r="S16" s="25"/>
      <c r="T16" s="24"/>
      <c r="U16" s="26"/>
      <c r="V16" s="26"/>
      <c r="W16" s="27"/>
    </row>
    <row r="17" spans="2:23" s="6" customFormat="1" ht="10.25" customHeight="1" outlineLevel="1" x14ac:dyDescent="0.15">
      <c r="B17" s="11">
        <v>2025</v>
      </c>
      <c r="C17" s="12">
        <f>SUM('Los Angeles'!C17,'Orange County'!C17,'San Diego'!C17,'San Francisco Bay Area'!C17)</f>
        <v>369595.33333333331</v>
      </c>
      <c r="D17" s="12">
        <f>SUM('Los Angeles'!D17,'Orange County'!D17,'San Diego'!D17,'San Francisco Bay Area'!D17)</f>
        <v>259775.85496760526</v>
      </c>
      <c r="E17" s="13">
        <f t="shared" ref="E17" si="9">D17/C17</f>
        <v>0.70286562501944994</v>
      </c>
      <c r="F17" s="14">
        <f t="shared" si="4"/>
        <v>203.35706823591244</v>
      </c>
      <c r="G17" s="14">
        <f t="shared" ref="G17" si="10">(H17/365)/C17</f>
        <v>142.93269286775754</v>
      </c>
      <c r="H17" s="15">
        <f>SUM('Los Angeles'!H17,'Orange County'!H17,'San Diego'!H17,'San Francisco Bay Area'!H17)</f>
        <v>19281948536.611774</v>
      </c>
      <c r="J17" s="11">
        <v>2025</v>
      </c>
      <c r="K17" s="12">
        <v>369595.33333333331</v>
      </c>
      <c r="L17" s="12">
        <v>259775.85496760526</v>
      </c>
      <c r="M17" s="23">
        <v>0.70286562501944994</v>
      </c>
      <c r="N17" s="14">
        <v>203.35706823591244</v>
      </c>
      <c r="O17" s="14">
        <v>142.93269286775754</v>
      </c>
      <c r="P17" s="15">
        <v>19281948536.611774</v>
      </c>
      <c r="Q17" s="12"/>
      <c r="R17" s="25">
        <f t="shared" ref="R17:W20" si="11">C17-K17</f>
        <v>0</v>
      </c>
      <c r="S17" s="25">
        <f t="shared" si="11"/>
        <v>0</v>
      </c>
      <c r="T17" s="24">
        <f t="shared" si="11"/>
        <v>0</v>
      </c>
      <c r="U17" s="26">
        <f t="shared" si="11"/>
        <v>0</v>
      </c>
      <c r="V17" s="26">
        <f t="shared" si="11"/>
        <v>0</v>
      </c>
      <c r="W17" s="27">
        <f t="shared" si="11"/>
        <v>0</v>
      </c>
    </row>
    <row r="18" spans="2:23" s="6" customFormat="1" outlineLevel="1" x14ac:dyDescent="0.15">
      <c r="B18" s="11">
        <v>2026</v>
      </c>
      <c r="C18" s="12">
        <f>SUM('Los Angeles'!C18,'Orange County'!C18,'San Diego'!C18,'San Francisco Bay Area'!C18)</f>
        <v>368380.75</v>
      </c>
      <c r="D18" s="12">
        <f>SUM('Los Angeles'!D18,'Orange County'!D18,'San Diego'!D18,'San Francisco Bay Area'!D18)</f>
        <v>265739.91547653964</v>
      </c>
      <c r="E18" s="13">
        <f t="shared" ref="E18" si="12">D18/C18</f>
        <v>0.72137296934364681</v>
      </c>
      <c r="F18" s="14">
        <f t="shared" si="4"/>
        <v>210.16873410737617</v>
      </c>
      <c r="G18" s="14">
        <f t="shared" ref="G18" si="13">(H18/365)/C18</f>
        <v>151.61004378623335</v>
      </c>
      <c r="H18" s="15">
        <f>SUM('Los Angeles'!H18,'Orange County'!H18,'San Diego'!H18,'San Francisco Bay Area'!H18)</f>
        <v>20385330897.689499</v>
      </c>
      <c r="J18" s="11">
        <v>2026</v>
      </c>
      <c r="K18" s="12">
        <v>371738.24166666664</v>
      </c>
      <c r="L18" s="12">
        <v>263144.07718611578</v>
      </c>
      <c r="M18" s="23">
        <v>0.70787464858693239</v>
      </c>
      <c r="N18" s="14">
        <v>208.9018925458256</v>
      </c>
      <c r="O18" s="14">
        <v>147.87635377502139</v>
      </c>
      <c r="P18" s="15">
        <v>20064522943.787605</v>
      </c>
      <c r="Q18" s="12"/>
      <c r="R18" s="25">
        <f t="shared" si="11"/>
        <v>-3357.4916666666395</v>
      </c>
      <c r="S18" s="25">
        <f t="shared" si="11"/>
        <v>2595.8382904238533</v>
      </c>
      <c r="T18" s="24">
        <f t="shared" si="11"/>
        <v>1.3498320756714421E-2</v>
      </c>
      <c r="U18" s="26">
        <f t="shared" si="11"/>
        <v>1.2668415615505637</v>
      </c>
      <c r="V18" s="26">
        <f t="shared" si="11"/>
        <v>3.7336900112119622</v>
      </c>
      <c r="W18" s="27">
        <f t="shared" si="11"/>
        <v>320807953.90189362</v>
      </c>
    </row>
    <row r="19" spans="2:23" s="6" customFormat="1" outlineLevel="1" x14ac:dyDescent="0.15">
      <c r="B19" s="11">
        <v>2027</v>
      </c>
      <c r="C19" s="12">
        <f>SUM('Los Angeles'!C19,'Orange County'!C19,'San Diego'!C19,'San Francisco Bay Area'!C19)</f>
        <v>371096.3833333333</v>
      </c>
      <c r="D19" s="12">
        <f>SUM('Los Angeles'!D19,'Orange County'!D19,'San Diego'!D19,'San Francisco Bay Area'!D19)</f>
        <v>267208.53960321483</v>
      </c>
      <c r="E19" s="13">
        <f t="shared" ref="E19" si="14">D19/C19</f>
        <v>0.7200515866068079</v>
      </c>
      <c r="F19" s="14">
        <f t="shared" ref="F19" si="15">H19/(D19*365)</f>
        <v>212.28706605887777</v>
      </c>
      <c r="G19" s="14">
        <f t="shared" ref="G19" si="16">(H19/365)/C19</f>
        <v>152.85763873179917</v>
      </c>
      <c r="H19" s="15">
        <f>SUM('Los Angeles'!H19,'Orange County'!H19,'San Diego'!H19,'San Francisco Bay Area'!H19)</f>
        <v>20704594667.859032</v>
      </c>
      <c r="J19" s="11">
        <v>2027</v>
      </c>
      <c r="K19" s="12">
        <v>375567.91666666669</v>
      </c>
      <c r="L19" s="12">
        <v>266361.36276094394</v>
      </c>
      <c r="M19" s="23">
        <v>0.7092228886988543</v>
      </c>
      <c r="N19" s="14">
        <v>210.27864868918178</v>
      </c>
      <c r="O19" s="14">
        <v>149.13443065503307</v>
      </c>
      <c r="P19" s="15">
        <v>20443689209.898788</v>
      </c>
      <c r="Q19" s="12"/>
      <c r="R19" s="25">
        <f t="shared" si="11"/>
        <v>-4471.5333333333838</v>
      </c>
      <c r="S19" s="25">
        <f t="shared" si="11"/>
        <v>847.17684227088466</v>
      </c>
      <c r="T19" s="24">
        <f t="shared" si="11"/>
        <v>1.0828697907953599E-2</v>
      </c>
      <c r="U19" s="26">
        <f t="shared" si="11"/>
        <v>2.0084173696959908</v>
      </c>
      <c r="V19" s="26">
        <f t="shared" si="11"/>
        <v>3.7232080767660989</v>
      </c>
      <c r="W19" s="27">
        <f t="shared" si="11"/>
        <v>260905457.96024323</v>
      </c>
    </row>
    <row r="20" spans="2:23" s="6" customFormat="1" outlineLevel="1" x14ac:dyDescent="0.15">
      <c r="B20" s="11">
        <v>2028</v>
      </c>
      <c r="C20" s="12">
        <f>SUM('Los Angeles'!C20,'Orange County'!C20,'San Diego'!C20,'San Francisco Bay Area'!C20)</f>
        <v>375862.69999999995</v>
      </c>
      <c r="D20" s="12">
        <f>SUM('Los Angeles'!D20,'Orange County'!D20,'San Diego'!D20,'San Francisco Bay Area'!D20)</f>
        <v>272073.67915508838</v>
      </c>
      <c r="E20" s="13">
        <f t="shared" ref="E20" si="17">D20/C20</f>
        <v>0.72386453658500405</v>
      </c>
      <c r="F20" s="14">
        <f t="shared" ref="F20" si="18">H20/(D20*365)</f>
        <v>215.68109633204293</v>
      </c>
      <c r="G20" s="14">
        <f t="shared" ref="G20" si="19">(H20/365)/C20</f>
        <v>156.12389684653988</v>
      </c>
      <c r="H20" s="15">
        <f>SUM('Los Angeles'!H20,'Orange County'!H20,'San Diego'!H20,'San Francisco Bay Area'!H20)</f>
        <v>21418619532.190613</v>
      </c>
      <c r="J20" s="11">
        <v>2028</v>
      </c>
      <c r="K20" s="12">
        <v>377950.43709199363</v>
      </c>
      <c r="L20" s="12">
        <v>271108.38657326967</v>
      </c>
      <c r="M20" s="23">
        <v>0.71731200699016928</v>
      </c>
      <c r="N20" s="14">
        <v>214.94525936912686</v>
      </c>
      <c r="O20" s="14">
        <v>154.18281539109086</v>
      </c>
      <c r="P20" s="15">
        <v>21269813801.234989</v>
      </c>
      <c r="Q20" s="12"/>
      <c r="R20" s="25">
        <f t="shared" si="11"/>
        <v>-2087.7370919936802</v>
      </c>
      <c r="S20" s="25">
        <f t="shared" si="11"/>
        <v>965.29258181870682</v>
      </c>
      <c r="T20" s="24">
        <f t="shared" si="11"/>
        <v>6.5525295948347662E-3</v>
      </c>
      <c r="U20" s="26">
        <f t="shared" si="11"/>
        <v>0.73583696291606771</v>
      </c>
      <c r="V20" s="26">
        <f t="shared" si="11"/>
        <v>1.941081455449023</v>
      </c>
      <c r="W20" s="27">
        <f t="shared" si="11"/>
        <v>148805730.95562363</v>
      </c>
    </row>
    <row r="21" spans="2:23" s="6" customFormat="1" outlineLevel="1" x14ac:dyDescent="0.15">
      <c r="B21" s="11">
        <v>2029</v>
      </c>
      <c r="C21" s="12">
        <f>SUM('Los Angeles'!C21,'Orange County'!C21,'San Diego'!C21,'San Francisco Bay Area'!C21)</f>
        <v>378094.56285293883</v>
      </c>
      <c r="D21" s="12">
        <f>SUM('Los Angeles'!D21,'Orange County'!D21,'San Diego'!D21,'San Francisco Bay Area'!D21)</f>
        <v>276952.68416177918</v>
      </c>
      <c r="E21" s="13">
        <f t="shared" ref="E21" si="20">D21/C21</f>
        <v>0.73249581287816845</v>
      </c>
      <c r="F21" s="14">
        <f t="shared" ref="F21" si="21">H21/(D21*365)</f>
        <v>219.68223332542772</v>
      </c>
      <c r="G21" s="14">
        <f t="shared" ref="G21" si="22">(H21/365)/C21</f>
        <v>160.91631607460062</v>
      </c>
      <c r="H21" s="15">
        <f>SUM('Los Angeles'!H21,'Orange County'!H21,'San Diego'!H21,'San Francisco Bay Area'!H21)</f>
        <v>22207178226.477982</v>
      </c>
      <c r="J21" s="11">
        <v>2029</v>
      </c>
      <c r="K21" s="12">
        <v>380197.73161375686</v>
      </c>
      <c r="L21" s="12">
        <v>275776.48541913927</v>
      </c>
      <c r="M21" s="23">
        <v>0.72535015989864138</v>
      </c>
      <c r="N21" s="14">
        <v>218.65025132997633</v>
      </c>
      <c r="O21" s="14">
        <v>158.59799476407645</v>
      </c>
      <c r="P21" s="15">
        <v>22008988214.44421</v>
      </c>
      <c r="Q21" s="12"/>
      <c r="R21" s="25">
        <f t="shared" ref="R21" si="23">C21-K21</f>
        <v>-2103.1687608180218</v>
      </c>
      <c r="S21" s="25">
        <f t="shared" ref="S21" si="24">D21-L21</f>
        <v>1176.1987426399137</v>
      </c>
      <c r="T21" s="24">
        <f t="shared" ref="T21" si="25">E21-M21</f>
        <v>7.1456529795270729E-3</v>
      </c>
      <c r="U21" s="26">
        <f t="shared" ref="U21" si="26">F21-N21</f>
        <v>1.0319819954513889</v>
      </c>
      <c r="V21" s="26">
        <f t="shared" ref="V21" si="27">G21-O21</f>
        <v>2.3183213105241691</v>
      </c>
      <c r="W21" s="27">
        <f t="shared" ref="W21" si="28">H21-P21</f>
        <v>198190012.03377151</v>
      </c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/>
      <c r="D24" s="13"/>
      <c r="E24" s="13"/>
      <c r="F24" s="13"/>
      <c r="G24" s="13"/>
      <c r="H24" s="13"/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/>
      <c r="D25" s="13"/>
      <c r="E25" s="13"/>
      <c r="F25" s="13"/>
      <c r="G25" s="13"/>
      <c r="H25" s="13"/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/>
      <c r="D26" s="13"/>
      <c r="E26" s="13"/>
      <c r="F26" s="13"/>
      <c r="G26" s="13"/>
      <c r="H26" s="13"/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/>
      <c r="D27" s="13"/>
      <c r="E27" s="13"/>
      <c r="F27" s="13"/>
      <c r="G27" s="13"/>
      <c r="H27" s="13"/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/>
      <c r="D28" s="13"/>
      <c r="E28" s="13"/>
      <c r="F28" s="13"/>
      <c r="G28" s="13"/>
      <c r="H28" s="13"/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f>B11</f>
        <v>2019</v>
      </c>
      <c r="C29" s="13">
        <f t="shared" ref="C29:H39" si="29">C11/C10-1</f>
        <v>3.0334114320182515E-2</v>
      </c>
      <c r="D29" s="13">
        <f t="shared" si="29"/>
        <v>2.6331096398863663E-2</v>
      </c>
      <c r="E29" s="13">
        <f t="shared" si="29"/>
        <v>-3.8851648855284804E-3</v>
      </c>
      <c r="F29" s="13">
        <f t="shared" si="29"/>
        <v>-1.6588778661590364E-3</v>
      </c>
      <c r="G29" s="13">
        <f t="shared" si="29"/>
        <v>-5.5375977376528329E-3</v>
      </c>
      <c r="H29" s="13">
        <f t="shared" si="29"/>
        <v>2.4628538459696703E-2</v>
      </c>
      <c r="J29" s="11">
        <v>2019</v>
      </c>
      <c r="K29" s="13">
        <f t="shared" ref="K29:P39" si="30">K11/K10-1</f>
        <v>3.0334114320182515E-2</v>
      </c>
      <c r="L29" s="13">
        <f t="shared" si="30"/>
        <v>2.6331096398863663E-2</v>
      </c>
      <c r="M29" s="13">
        <f t="shared" si="30"/>
        <v>-3.8851648855284804E-3</v>
      </c>
      <c r="N29" s="13">
        <f t="shared" si="30"/>
        <v>-1.6588778661590364E-3</v>
      </c>
      <c r="O29" s="13">
        <f t="shared" si="30"/>
        <v>-5.5375977376528329E-3</v>
      </c>
      <c r="P29" s="13">
        <f t="shared" si="30"/>
        <v>2.4628538459696703E-2</v>
      </c>
      <c r="Q29" s="13"/>
      <c r="R29" s="22">
        <f t="shared" ref="R29:R38" si="31">C29-K29</f>
        <v>0</v>
      </c>
      <c r="S29" s="22">
        <f t="shared" ref="S29:S38" si="32">D29-L29</f>
        <v>0</v>
      </c>
      <c r="T29" s="22">
        <f t="shared" ref="T29:T38" si="33">E29-M29</f>
        <v>0</v>
      </c>
      <c r="U29" s="22">
        <f t="shared" ref="U29:U38" si="34">F29-N29</f>
        <v>0</v>
      </c>
      <c r="V29" s="22">
        <f t="shared" ref="V29:V38" si="35">G29-O29</f>
        <v>0</v>
      </c>
      <c r="W29" s="22">
        <f t="shared" ref="W29:W38" si="36">H29-P29</f>
        <v>0</v>
      </c>
    </row>
    <row r="30" spans="2:23" s="6" customFormat="1" x14ac:dyDescent="0.15">
      <c r="B30" s="11">
        <f>B12</f>
        <v>2020</v>
      </c>
      <c r="C30" s="13">
        <f t="shared" si="29"/>
        <v>-8.9163175338220602E-2</v>
      </c>
      <c r="D30" s="13">
        <f t="shared" si="29"/>
        <v>-0.45926730142023819</v>
      </c>
      <c r="E30" s="13">
        <f t="shared" si="29"/>
        <v>-0.40633417101844582</v>
      </c>
      <c r="F30" s="13">
        <f t="shared" si="29"/>
        <v>-0.24500031082738416</v>
      </c>
      <c r="G30" s="13">
        <f t="shared" si="29"/>
        <v>-0.55178248364652327</v>
      </c>
      <c r="H30" s="13">
        <f t="shared" si="29"/>
        <v>-0.59174698064680997</v>
      </c>
      <c r="J30" s="11">
        <v>2020</v>
      </c>
      <c r="K30" s="13">
        <f t="shared" si="30"/>
        <v>-8.9163175338220602E-2</v>
      </c>
      <c r="L30" s="13">
        <f t="shared" si="30"/>
        <v>-0.45926730142023819</v>
      </c>
      <c r="M30" s="13">
        <f t="shared" si="30"/>
        <v>-0.40633417101844582</v>
      </c>
      <c r="N30" s="13">
        <f t="shared" si="30"/>
        <v>-0.24500031082738416</v>
      </c>
      <c r="O30" s="13">
        <f t="shared" si="30"/>
        <v>-0.55178248364652327</v>
      </c>
      <c r="P30" s="13">
        <f t="shared" si="30"/>
        <v>-0.59174698064680997</v>
      </c>
      <c r="Q30" s="13"/>
      <c r="R30" s="22">
        <f t="shared" si="31"/>
        <v>0</v>
      </c>
      <c r="S30" s="22">
        <f t="shared" si="32"/>
        <v>0</v>
      </c>
      <c r="T30" s="22">
        <f t="shared" si="33"/>
        <v>0</v>
      </c>
      <c r="U30" s="22">
        <f t="shared" si="34"/>
        <v>0</v>
      </c>
      <c r="V30" s="22">
        <f t="shared" si="35"/>
        <v>0</v>
      </c>
      <c r="W30" s="22">
        <f t="shared" si="36"/>
        <v>0</v>
      </c>
    </row>
    <row r="31" spans="2:23" s="6" customFormat="1" x14ac:dyDescent="0.15">
      <c r="B31" s="11">
        <f>B13</f>
        <v>2021</v>
      </c>
      <c r="C31" s="13">
        <f t="shared" si="29"/>
        <v>7.1993299728641214E-2</v>
      </c>
      <c r="D31" s="13">
        <f t="shared" si="29"/>
        <v>0.34226726309248323</v>
      </c>
      <c r="E31" s="13">
        <f t="shared" si="29"/>
        <v>0.25212281031258099</v>
      </c>
      <c r="F31" s="13">
        <f t="shared" si="29"/>
        <v>0.13924484588662778</v>
      </c>
      <c r="G31" s="13">
        <f t="shared" si="29"/>
        <v>0.42647445806568807</v>
      </c>
      <c r="H31" s="13">
        <f t="shared" si="29"/>
        <v>0.52917106128046187</v>
      </c>
      <c r="J31" s="11">
        <v>2021</v>
      </c>
      <c r="K31" s="13">
        <f t="shared" si="30"/>
        <v>7.1993299728641214E-2</v>
      </c>
      <c r="L31" s="13">
        <f t="shared" si="30"/>
        <v>0.34226726309248323</v>
      </c>
      <c r="M31" s="13">
        <f t="shared" si="30"/>
        <v>0.25212281031258099</v>
      </c>
      <c r="N31" s="13">
        <f t="shared" si="30"/>
        <v>0.13924484588662778</v>
      </c>
      <c r="O31" s="13">
        <f t="shared" si="30"/>
        <v>0.42647445806568807</v>
      </c>
      <c r="P31" s="13">
        <f t="shared" si="30"/>
        <v>0.52917106128046187</v>
      </c>
      <c r="Q31" s="13"/>
      <c r="R31" s="22">
        <f t="shared" si="31"/>
        <v>0</v>
      </c>
      <c r="S31" s="22">
        <f t="shared" si="32"/>
        <v>0</v>
      </c>
      <c r="T31" s="22">
        <f t="shared" si="33"/>
        <v>0</v>
      </c>
      <c r="U31" s="22">
        <f t="shared" si="34"/>
        <v>0</v>
      </c>
      <c r="V31" s="22">
        <f t="shared" si="35"/>
        <v>0</v>
      </c>
      <c r="W31" s="22">
        <f t="shared" si="36"/>
        <v>0</v>
      </c>
    </row>
    <row r="32" spans="2:23" s="6" customFormat="1" outlineLevel="1" x14ac:dyDescent="0.15">
      <c r="B32" s="11">
        <f>B14</f>
        <v>2022</v>
      </c>
      <c r="C32" s="13">
        <f t="shared" si="29"/>
        <v>4.9593379163025642E-2</v>
      </c>
      <c r="D32" s="13">
        <f t="shared" si="29"/>
        <v>0.23235802974935416</v>
      </c>
      <c r="E32" s="13">
        <f t="shared" si="29"/>
        <v>0.17412900482667881</v>
      </c>
      <c r="F32" s="13">
        <f t="shared" si="29"/>
        <v>0.2381863676393321</v>
      </c>
      <c r="G32" s="13">
        <f t="shared" si="29"/>
        <v>0.45379052762632899</v>
      </c>
      <c r="H32" s="13">
        <f t="shared" si="29"/>
        <v>0.52588891248651648</v>
      </c>
      <c r="J32" s="11">
        <v>2022</v>
      </c>
      <c r="K32" s="13">
        <f t="shared" si="30"/>
        <v>4.9593379163025642E-2</v>
      </c>
      <c r="L32" s="13">
        <f t="shared" si="30"/>
        <v>0.23235802974935416</v>
      </c>
      <c r="M32" s="13">
        <f t="shared" si="30"/>
        <v>0.17412900482667881</v>
      </c>
      <c r="N32" s="13">
        <f t="shared" si="30"/>
        <v>0.2381863676393321</v>
      </c>
      <c r="O32" s="13">
        <f t="shared" si="30"/>
        <v>0.45379052762632899</v>
      </c>
      <c r="P32" s="13">
        <f t="shared" si="30"/>
        <v>0.52588891248651648</v>
      </c>
      <c r="Q32" s="13"/>
      <c r="R32" s="22">
        <f t="shared" si="31"/>
        <v>0</v>
      </c>
      <c r="S32" s="22">
        <f t="shared" si="32"/>
        <v>0</v>
      </c>
      <c r="T32" s="22">
        <f t="shared" si="33"/>
        <v>0</v>
      </c>
      <c r="U32" s="22">
        <f t="shared" si="34"/>
        <v>0</v>
      </c>
      <c r="V32" s="22">
        <f t="shared" si="35"/>
        <v>0</v>
      </c>
      <c r="W32" s="22">
        <f t="shared" si="36"/>
        <v>0</v>
      </c>
    </row>
    <row r="33" spans="2:23" s="6" customFormat="1" outlineLevel="1" x14ac:dyDescent="0.15">
      <c r="B33" s="11">
        <v>2023</v>
      </c>
      <c r="C33" s="13">
        <f t="shared" si="29"/>
        <v>1.3640117364698723E-2</v>
      </c>
      <c r="D33" s="13">
        <f t="shared" si="29"/>
        <v>2.4227116156528616E-2</v>
      </c>
      <c r="E33" s="13">
        <f t="shared" si="29"/>
        <v>1.044453412060542E-2</v>
      </c>
      <c r="F33" s="13">
        <f t="shared" si="29"/>
        <v>4.2680998445214335E-2</v>
      </c>
      <c r="G33" s="13">
        <f t="shared" si="29"/>
        <v>5.3571315710382095E-2</v>
      </c>
      <c r="H33" s="13">
        <f t="shared" si="29"/>
        <v>6.7942152108751763E-2</v>
      </c>
      <c r="J33" s="11">
        <v>2023</v>
      </c>
      <c r="K33" s="13">
        <f t="shared" si="30"/>
        <v>1.3640117364698723E-2</v>
      </c>
      <c r="L33" s="13">
        <f t="shared" si="30"/>
        <v>2.4227116156528616E-2</v>
      </c>
      <c r="M33" s="13">
        <f t="shared" si="30"/>
        <v>1.044453412060542E-2</v>
      </c>
      <c r="N33" s="13">
        <f t="shared" si="30"/>
        <v>4.2680998445214335E-2</v>
      </c>
      <c r="O33" s="13">
        <f t="shared" si="30"/>
        <v>5.3571315710382095E-2</v>
      </c>
      <c r="P33" s="13">
        <f t="shared" si="30"/>
        <v>6.7942152108751763E-2</v>
      </c>
      <c r="Q33" s="13"/>
      <c r="R33" s="22">
        <f t="shared" si="31"/>
        <v>0</v>
      </c>
      <c r="S33" s="22">
        <f t="shared" si="32"/>
        <v>0</v>
      </c>
      <c r="T33" s="22">
        <f t="shared" si="33"/>
        <v>0</v>
      </c>
      <c r="U33" s="22">
        <f t="shared" si="34"/>
        <v>0</v>
      </c>
      <c r="V33" s="22">
        <f t="shared" si="35"/>
        <v>0</v>
      </c>
      <c r="W33" s="22">
        <f t="shared" si="36"/>
        <v>0</v>
      </c>
    </row>
    <row r="34" spans="2:23" s="6" customFormat="1" outlineLevel="1" x14ac:dyDescent="0.15">
      <c r="B34" s="11">
        <v>2024</v>
      </c>
      <c r="C34" s="13">
        <f t="shared" si="29"/>
        <v>3.604364188432907E-3</v>
      </c>
      <c r="D34" s="13">
        <f t="shared" si="29"/>
        <v>1.1354877807181918E-2</v>
      </c>
      <c r="E34" s="13">
        <f t="shared" si="29"/>
        <v>7.7226782737405131E-3</v>
      </c>
      <c r="F34" s="13">
        <f t="shared" si="29"/>
        <v>-2.9079087748917765E-2</v>
      </c>
      <c r="G34" s="13">
        <f t="shared" si="29"/>
        <v>-2.1580977914355981E-2</v>
      </c>
      <c r="H34" s="13">
        <f t="shared" si="29"/>
        <v>-1.8054399429869195E-2</v>
      </c>
      <c r="J34" s="11">
        <v>2024</v>
      </c>
      <c r="K34" s="13">
        <f t="shared" si="30"/>
        <v>3.604364188432907E-3</v>
      </c>
      <c r="L34" s="13">
        <f t="shared" si="30"/>
        <v>1.1354877807181918E-2</v>
      </c>
      <c r="M34" s="13">
        <f t="shared" si="30"/>
        <v>7.7226782737405131E-3</v>
      </c>
      <c r="N34" s="13">
        <f t="shared" si="30"/>
        <v>-2.9079087748917765E-2</v>
      </c>
      <c r="O34" s="13">
        <f t="shared" si="30"/>
        <v>-2.1580977914355981E-2</v>
      </c>
      <c r="P34" s="13">
        <f t="shared" si="30"/>
        <v>-1.8054399429869195E-2</v>
      </c>
      <c r="Q34" s="13"/>
      <c r="R34" s="22">
        <f t="shared" si="31"/>
        <v>0</v>
      </c>
      <c r="S34" s="22">
        <f t="shared" si="32"/>
        <v>0</v>
      </c>
      <c r="T34" s="22">
        <f t="shared" si="33"/>
        <v>0</v>
      </c>
      <c r="U34" s="22">
        <f t="shared" si="34"/>
        <v>0</v>
      </c>
      <c r="V34" s="22">
        <f t="shared" si="35"/>
        <v>0</v>
      </c>
      <c r="W34" s="22">
        <f t="shared" si="36"/>
        <v>0</v>
      </c>
    </row>
    <row r="35" spans="2:23" s="6" customFormat="1" outlineLevel="1" x14ac:dyDescent="0.15">
      <c r="B35" s="11">
        <v>2025</v>
      </c>
      <c r="C35" s="13">
        <f t="shared" si="29"/>
        <v>1.0081980699561122E-3</v>
      </c>
      <c r="D35" s="13">
        <f t="shared" si="29"/>
        <v>6.550370727187893E-3</v>
      </c>
      <c r="E35" s="13">
        <f t="shared" si="29"/>
        <v>5.5365906771966955E-3</v>
      </c>
      <c r="F35" s="13">
        <f t="shared" si="29"/>
        <v>1.4803316617325812E-2</v>
      </c>
      <c r="G35" s="13">
        <f t="shared" si="29"/>
        <v>2.0421867199297727E-2</v>
      </c>
      <c r="H35" s="13">
        <f t="shared" si="29"/>
        <v>2.1450654556349091E-2</v>
      </c>
      <c r="J35" s="11">
        <v>2025</v>
      </c>
      <c r="K35" s="13">
        <f t="shared" si="30"/>
        <v>1.0081980699561122E-3</v>
      </c>
      <c r="L35" s="13">
        <f t="shared" si="30"/>
        <v>6.550370727187893E-3</v>
      </c>
      <c r="M35" s="13">
        <f t="shared" si="30"/>
        <v>5.5365906771966955E-3</v>
      </c>
      <c r="N35" s="13">
        <f t="shared" si="30"/>
        <v>1.4803316617325812E-2</v>
      </c>
      <c r="O35" s="13">
        <f t="shared" si="30"/>
        <v>2.0421867199297727E-2</v>
      </c>
      <c r="P35" s="13">
        <f t="shared" si="30"/>
        <v>2.1450654556349091E-2</v>
      </c>
      <c r="Q35" s="13"/>
      <c r="R35" s="22">
        <f t="shared" si="31"/>
        <v>0</v>
      </c>
      <c r="S35" s="22">
        <f t="shared" si="32"/>
        <v>0</v>
      </c>
      <c r="T35" s="22">
        <f t="shared" si="33"/>
        <v>0</v>
      </c>
      <c r="U35" s="22">
        <f t="shared" si="34"/>
        <v>0</v>
      </c>
      <c r="V35" s="22">
        <f t="shared" si="35"/>
        <v>0</v>
      </c>
      <c r="W35" s="22">
        <f t="shared" si="36"/>
        <v>0</v>
      </c>
    </row>
    <row r="36" spans="2:23" s="6" customFormat="1" outlineLevel="1" x14ac:dyDescent="0.15">
      <c r="B36" s="11">
        <v>2026</v>
      </c>
      <c r="C36" s="13">
        <f t="shared" si="29"/>
        <v>-3.286251810538654E-3</v>
      </c>
      <c r="D36" s="13">
        <f t="shared" si="29"/>
        <v>2.2958486691067259E-2</v>
      </c>
      <c r="E36" s="13">
        <f t="shared" si="29"/>
        <v>2.6331269684279679E-2</v>
      </c>
      <c r="F36" s="13">
        <f t="shared" si="29"/>
        <v>3.3496086123554702E-2</v>
      </c>
      <c r="G36" s="13">
        <f t="shared" si="29"/>
        <v>6.0709350284921637E-2</v>
      </c>
      <c r="H36" s="13">
        <f t="shared" si="29"/>
        <v>5.7223592262092504E-2</v>
      </c>
      <c r="J36" s="11">
        <v>2026</v>
      </c>
      <c r="K36" s="13">
        <f t="shared" si="30"/>
        <v>5.7979853641729751E-3</v>
      </c>
      <c r="L36" s="13">
        <f t="shared" si="30"/>
        <v>1.2965878676178599E-2</v>
      </c>
      <c r="M36" s="13">
        <f t="shared" si="30"/>
        <v>7.1265735429071331E-3</v>
      </c>
      <c r="N36" s="13">
        <f t="shared" si="30"/>
        <v>2.7266444968023773E-2</v>
      </c>
      <c r="O36" s="13">
        <f t="shared" si="30"/>
        <v>3.4587334836248873E-2</v>
      </c>
      <c r="P36" s="13">
        <f t="shared" si="30"/>
        <v>4.058585706158846E-2</v>
      </c>
      <c r="Q36" s="13"/>
      <c r="R36" s="22">
        <f t="shared" si="31"/>
        <v>-9.0842371747116291E-3</v>
      </c>
      <c r="S36" s="22">
        <f t="shared" si="32"/>
        <v>9.9926080148886598E-3</v>
      </c>
      <c r="T36" s="22">
        <f t="shared" si="33"/>
        <v>1.9204696141372546E-2</v>
      </c>
      <c r="U36" s="22">
        <f t="shared" si="34"/>
        <v>6.2296411555309295E-3</v>
      </c>
      <c r="V36" s="22">
        <f t="shared" si="35"/>
        <v>2.6122015448672764E-2</v>
      </c>
      <c r="W36" s="22">
        <f t="shared" si="36"/>
        <v>1.6637735200504045E-2</v>
      </c>
    </row>
    <row r="37" spans="2:23" s="6" customFormat="1" outlineLevel="1" x14ac:dyDescent="0.15">
      <c r="B37" s="11">
        <v>2027</v>
      </c>
      <c r="C37" s="13">
        <f t="shared" si="29"/>
        <v>7.3718111853926516E-3</v>
      </c>
      <c r="D37" s="13">
        <f t="shared" si="29"/>
        <v>5.5265469774894438E-3</v>
      </c>
      <c r="E37" s="13">
        <f t="shared" si="29"/>
        <v>-1.8317608130523633E-3</v>
      </c>
      <c r="F37" s="13">
        <f t="shared" si="29"/>
        <v>1.0079196415673009E-2</v>
      </c>
      <c r="G37" s="13">
        <f t="shared" si="29"/>
        <v>8.2289729255990984E-3</v>
      </c>
      <c r="H37" s="13">
        <f t="shared" si="29"/>
        <v>1.5661446545649049E-2</v>
      </c>
      <c r="J37" s="11">
        <v>2027</v>
      </c>
      <c r="K37" s="13">
        <f t="shared" si="30"/>
        <v>1.0302074338195411E-2</v>
      </c>
      <c r="L37" s="13">
        <f t="shared" si="30"/>
        <v>1.2226327148350258E-2</v>
      </c>
      <c r="M37" s="13">
        <f t="shared" si="30"/>
        <v>1.9046311583743591E-3</v>
      </c>
      <c r="N37" s="13">
        <f t="shared" si="30"/>
        <v>6.5904436124444299E-3</v>
      </c>
      <c r="O37" s="13">
        <f t="shared" si="30"/>
        <v>8.5076271350708055E-3</v>
      </c>
      <c r="P37" s="13">
        <f t="shared" si="30"/>
        <v>1.8897347680453036E-2</v>
      </c>
      <c r="Q37" s="13"/>
      <c r="R37" s="22">
        <f t="shared" si="31"/>
        <v>-2.930263152802759E-3</v>
      </c>
      <c r="S37" s="22">
        <f t="shared" si="32"/>
        <v>-6.699780170860814E-3</v>
      </c>
      <c r="T37" s="22">
        <f t="shared" si="33"/>
        <v>-3.7363919714267224E-3</v>
      </c>
      <c r="U37" s="22">
        <f t="shared" si="34"/>
        <v>3.4887528032285786E-3</v>
      </c>
      <c r="V37" s="22">
        <f t="shared" si="35"/>
        <v>-2.7865420947170705E-4</v>
      </c>
      <c r="W37" s="22">
        <f t="shared" si="36"/>
        <v>-3.2359011348039868E-3</v>
      </c>
    </row>
    <row r="38" spans="2:23" s="6" customFormat="1" outlineLevel="1" x14ac:dyDescent="0.15">
      <c r="B38" s="11">
        <v>2028</v>
      </c>
      <c r="C38" s="13">
        <f t="shared" si="29"/>
        <v>1.2843877980846186E-2</v>
      </c>
      <c r="D38" s="13">
        <f t="shared" si="29"/>
        <v>1.8207275707198267E-2</v>
      </c>
      <c r="E38" s="13">
        <f t="shared" si="29"/>
        <v>5.295384454556018E-3</v>
      </c>
      <c r="F38" s="13">
        <f t="shared" si="29"/>
        <v>1.5987927744141706E-2</v>
      </c>
      <c r="G38" s="13">
        <f t="shared" si="29"/>
        <v>2.1367974422734637E-2</v>
      </c>
      <c r="H38" s="13">
        <f t="shared" si="29"/>
        <v>3.4486300059764163E-2</v>
      </c>
      <c r="J38" s="11">
        <v>2028</v>
      </c>
      <c r="K38" s="13">
        <f t="shared" si="30"/>
        <v>6.3437804977402035E-3</v>
      </c>
      <c r="L38" s="13">
        <f t="shared" si="30"/>
        <v>1.7821743225522324E-2</v>
      </c>
      <c r="M38" s="13">
        <f t="shared" si="30"/>
        <v>1.1405608053845162E-2</v>
      </c>
      <c r="N38" s="13">
        <f t="shared" si="30"/>
        <v>2.2192508412220757E-2</v>
      </c>
      <c r="O38" s="13">
        <f t="shared" si="30"/>
        <v>3.3851235518747025E-2</v>
      </c>
      <c r="P38" s="13">
        <f t="shared" si="30"/>
        <v>4.0409760824195784E-2</v>
      </c>
      <c r="Q38" s="13"/>
      <c r="R38" s="22">
        <f t="shared" si="31"/>
        <v>6.5000974831059821E-3</v>
      </c>
      <c r="S38" s="22">
        <f t="shared" si="32"/>
        <v>3.8553248167594312E-4</v>
      </c>
      <c r="T38" s="22">
        <f t="shared" si="33"/>
        <v>-6.110223599289144E-3</v>
      </c>
      <c r="U38" s="22">
        <f t="shared" si="34"/>
        <v>-6.2045806680790516E-3</v>
      </c>
      <c r="V38" s="22">
        <f t="shared" si="35"/>
        <v>-1.2483261096012388E-2</v>
      </c>
      <c r="W38" s="22">
        <f t="shared" si="36"/>
        <v>-5.9234607644316206E-3</v>
      </c>
    </row>
    <row r="39" spans="2:23" s="6" customFormat="1" outlineLevel="1" x14ac:dyDescent="0.15">
      <c r="B39" s="11">
        <v>2029</v>
      </c>
      <c r="C39" s="13">
        <f t="shared" si="29"/>
        <v>5.9379737679181588E-3</v>
      </c>
      <c r="D39" s="13">
        <f t="shared" si="29"/>
        <v>1.7932660821297741E-2</v>
      </c>
      <c r="E39" s="13">
        <f t="shared" si="29"/>
        <v>1.1923883346854458E-2</v>
      </c>
      <c r="F39" s="13">
        <f t="shared" si="29"/>
        <v>1.8551171435186919E-2</v>
      </c>
      <c r="G39" s="13">
        <f t="shared" si="29"/>
        <v>3.0696256786181708E-2</v>
      </c>
      <c r="H39" s="13">
        <f t="shared" si="29"/>
        <v>3.6816504121669702E-2</v>
      </c>
      <c r="J39" s="11">
        <v>2029</v>
      </c>
      <c r="K39" s="13">
        <f t="shared" si="30"/>
        <v>5.9460032353824133E-3</v>
      </c>
      <c r="L39" s="13">
        <f t="shared" si="30"/>
        <v>1.7218570420756807E-2</v>
      </c>
      <c r="M39" s="13">
        <f t="shared" si="30"/>
        <v>1.1205936649799186E-2</v>
      </c>
      <c r="N39" s="13">
        <f t="shared" si="30"/>
        <v>1.7236909396019184E-2</v>
      </c>
      <c r="O39" s="13">
        <f t="shared" si="30"/>
        <v>2.863600176054848E-2</v>
      </c>
      <c r="P39" s="13">
        <f t="shared" si="30"/>
        <v>3.4752274755047496E-2</v>
      </c>
      <c r="Q39" s="13"/>
      <c r="R39" s="22">
        <f t="shared" ref="R39" si="37">C39-K39</f>
        <v>-8.0294674642544805E-6</v>
      </c>
      <c r="S39" s="22">
        <f t="shared" ref="S39" si="38">D39-L39</f>
        <v>7.1409040054093431E-4</v>
      </c>
      <c r="T39" s="22">
        <f t="shared" ref="T39" si="39">E39-M39</f>
        <v>7.179466970552717E-4</v>
      </c>
      <c r="U39" s="22">
        <f t="shared" ref="U39" si="40">F39-N39</f>
        <v>1.3142620391677351E-3</v>
      </c>
      <c r="V39" s="22">
        <f t="shared" ref="V39" si="41">G39-O39</f>
        <v>2.0602550256332286E-3</v>
      </c>
      <c r="W39" s="22">
        <f t="shared" ref="W39" si="42">H39-P39</f>
        <v>2.0642293666222056E-3</v>
      </c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41</v>
      </c>
    </row>
    <row r="42" spans="2:23" x14ac:dyDescent="0.15">
      <c r="B42" s="1" t="s">
        <v>22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738C-6F08-44AE-9AD5-7A5386BD33CF}">
  <sheetPr>
    <tabColor theme="4" tint="0.79998168889431442"/>
  </sheetPr>
  <dimension ref="B1:W50"/>
  <sheetViews>
    <sheetView zoomScale="150" zoomScaleNormal="150" workbookViewId="0">
      <selection activeCell="E60" sqref="E60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tr">
        <f>"Forecast summary: Annual, All Other Regions*"</f>
        <v>Forecast summary: Annual, All Other Regions*</v>
      </c>
    </row>
    <row r="2" spans="2:23" s="6" customFormat="1" ht="11.5" customHeight="1" x14ac:dyDescent="0.15">
      <c r="K2" s="28" t="s">
        <v>19</v>
      </c>
      <c r="L2" s="28"/>
      <c r="M2" s="28"/>
      <c r="N2" s="28"/>
      <c r="O2" s="28"/>
      <c r="P2" s="28"/>
      <c r="Q2" s="29"/>
      <c r="R2" s="28" t="s">
        <v>26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24</v>
      </c>
      <c r="D3" s="8" t="s">
        <v>25</v>
      </c>
      <c r="E3" s="8" t="s">
        <v>17</v>
      </c>
      <c r="F3" s="8" t="s">
        <v>20</v>
      </c>
      <c r="G3" s="8" t="s">
        <v>21</v>
      </c>
      <c r="H3" s="8" t="s">
        <v>18</v>
      </c>
      <c r="K3" s="8" t="s">
        <v>24</v>
      </c>
      <c r="L3" s="8" t="s">
        <v>25</v>
      </c>
      <c r="M3" s="8" t="s">
        <v>17</v>
      </c>
      <c r="N3" s="8" t="s">
        <v>20</v>
      </c>
      <c r="O3" s="8" t="s">
        <v>21</v>
      </c>
      <c r="P3" s="8" t="s">
        <v>18</v>
      </c>
      <c r="Q3" s="18"/>
      <c r="R3" s="8" t="s">
        <v>24</v>
      </c>
      <c r="S3" s="8" t="s">
        <v>25</v>
      </c>
      <c r="T3" s="8" t="s">
        <v>17</v>
      </c>
      <c r="U3" s="8" t="s">
        <v>20</v>
      </c>
      <c r="V3" s="8" t="s">
        <v>21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f>California!C5-Gateway!C5</f>
        <v>174711.24373961746</v>
      </c>
      <c r="D5" s="12">
        <f>California!D5-Gateway!D5</f>
        <v>107076.70947172173</v>
      </c>
      <c r="E5" s="13">
        <f t="shared" ref="E5:E9" si="0">D5/C5</f>
        <v>0.6128781821924667</v>
      </c>
      <c r="F5" s="14" t="e">
        <f t="shared" ref="F5:F9" si="1">H5/(D5*365)</f>
        <v>#DIV/0!</v>
      </c>
      <c r="G5" s="14" t="e">
        <f t="shared" ref="G5:G9" si="2">(H5/365)/C5</f>
        <v>#DIV/0!</v>
      </c>
      <c r="H5" s="15" t="e">
        <f>California!H5-Gateway!H5</f>
        <v>#DIV/0!</v>
      </c>
      <c r="J5" s="5"/>
      <c r="K5" s="12">
        <v>174711.24373961746</v>
      </c>
      <c r="L5" s="12">
        <v>107076.70947172173</v>
      </c>
      <c r="M5" s="23">
        <v>0.6128781821924667</v>
      </c>
      <c r="N5" s="14" t="e">
        <v>#DIV/0!</v>
      </c>
      <c r="O5" s="14" t="e">
        <v>#DIV/0!</v>
      </c>
      <c r="P5" s="15" t="e">
        <v>#DIV/0!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f>California!C6-Gateway!C6</f>
        <v>175757.50420952315</v>
      </c>
      <c r="D6" s="12">
        <f>California!D6-Gateway!D6</f>
        <v>111062.60666593147</v>
      </c>
      <c r="E6" s="13">
        <f t="shared" si="0"/>
        <v>0.6319081917181304</v>
      </c>
      <c r="F6" s="14">
        <f t="shared" si="1"/>
        <v>107.48440160756429</v>
      </c>
      <c r="G6" s="14">
        <f t="shared" si="2"/>
        <v>67.92027385774125</v>
      </c>
      <c r="H6" s="15">
        <f>California!H6-Gateway!H6</f>
        <v>4357186703.7393322</v>
      </c>
      <c r="J6" s="5"/>
      <c r="K6" s="12">
        <v>175757.50420952315</v>
      </c>
      <c r="L6" s="12">
        <v>111062.60666593147</v>
      </c>
      <c r="M6" s="23">
        <v>0.6319081917181304</v>
      </c>
      <c r="N6" s="14">
        <v>107.48440160756429</v>
      </c>
      <c r="O6" s="14">
        <v>67.92027385774125</v>
      </c>
      <c r="P6" s="15">
        <v>4357186703.7393322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f>California!C7-Gateway!C7</f>
        <v>175989.66666666669</v>
      </c>
      <c r="D7" s="12">
        <f>California!D7-Gateway!D7</f>
        <v>116687.60696008656</v>
      </c>
      <c r="E7" s="13">
        <f t="shared" si="0"/>
        <v>0.66303669510948493</v>
      </c>
      <c r="F7" s="14">
        <f t="shared" si="1"/>
        <v>113.03298573053078</v>
      </c>
      <c r="G7" s="14">
        <f t="shared" si="2"/>
        <v>74.9450172971287</v>
      </c>
      <c r="H7" s="15">
        <f>California!H7-Gateway!H7</f>
        <v>4814185243.5439758</v>
      </c>
      <c r="J7" s="5"/>
      <c r="K7" s="12">
        <v>175989.66666666669</v>
      </c>
      <c r="L7" s="12">
        <v>116687.60696008656</v>
      </c>
      <c r="M7" s="23">
        <v>0.66303669510948493</v>
      </c>
      <c r="N7" s="14">
        <v>113.03298573053078</v>
      </c>
      <c r="O7" s="14">
        <v>74.9450172971287</v>
      </c>
      <c r="P7" s="15">
        <v>4814185243.5439758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f>California!C8-Gateway!C8</f>
        <v>176337.16666666669</v>
      </c>
      <c r="D8" s="12">
        <f>California!D8-Gateway!D8</f>
        <v>119135.48182690056</v>
      </c>
      <c r="E8" s="13">
        <f t="shared" si="0"/>
        <v>0.67561186378878657</v>
      </c>
      <c r="F8" s="14">
        <f t="shared" si="1"/>
        <v>119.61483157407238</v>
      </c>
      <c r="G8" s="14">
        <f t="shared" si="2"/>
        <v>80.81319929654083</v>
      </c>
      <c r="H8" s="15">
        <f>California!H8-Gateway!H8</f>
        <v>5201385266.5255451</v>
      </c>
      <c r="J8" s="5"/>
      <c r="K8" s="12">
        <v>176337.16666666669</v>
      </c>
      <c r="L8" s="12">
        <v>119135.48182690056</v>
      </c>
      <c r="M8" s="23">
        <v>0.67561186378878657</v>
      </c>
      <c r="N8" s="14">
        <v>119.61483157407238</v>
      </c>
      <c r="O8" s="14">
        <v>80.81319929654083</v>
      </c>
      <c r="P8" s="15">
        <v>5201385266.5255451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f>California!C9-Gateway!C9</f>
        <v>177131.83333333331</v>
      </c>
      <c r="D9" s="12">
        <f>California!D9-Gateway!D9</f>
        <v>121423.81233560183</v>
      </c>
      <c r="E9" s="13">
        <f t="shared" si="0"/>
        <v>0.68549966457526557</v>
      </c>
      <c r="F9" s="14">
        <f t="shared" si="1"/>
        <v>123.78730764202425</v>
      </c>
      <c r="G9" s="14">
        <f t="shared" si="2"/>
        <v>84.856157867282832</v>
      </c>
      <c r="H9" s="15">
        <f>California!H9-Gateway!H9</f>
        <v>5486215286.6189156</v>
      </c>
      <c r="J9" s="5"/>
      <c r="K9" s="12">
        <v>177131.83333333331</v>
      </c>
      <c r="L9" s="12">
        <v>121423.81233560183</v>
      </c>
      <c r="M9" s="23">
        <v>0.68549966457526557</v>
      </c>
      <c r="N9" s="14">
        <v>123.78730764202425</v>
      </c>
      <c r="O9" s="14">
        <v>84.856157867282832</v>
      </c>
      <c r="P9" s="15">
        <v>5486215286.6189156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f>California!C10-Gateway!C10</f>
        <v>179946.75</v>
      </c>
      <c r="D10" s="12">
        <f>California!D10-Gateway!D10</f>
        <v>123889.46170112316</v>
      </c>
      <c r="E10" s="13">
        <f>D10/C10</f>
        <v>0.68847846210683528</v>
      </c>
      <c r="F10" s="14">
        <f>H10/(D10*365)</f>
        <v>128.53533128260813</v>
      </c>
      <c r="G10" s="14">
        <f>(H10/365)/C10</f>
        <v>88.493807207842636</v>
      </c>
      <c r="H10" s="15">
        <f>California!H10-Gateway!H10</f>
        <v>5812323145.7949181</v>
      </c>
      <c r="J10" s="5"/>
      <c r="K10" s="12">
        <v>179946.75</v>
      </c>
      <c r="L10" s="12">
        <v>123889.46170112316</v>
      </c>
      <c r="M10" s="23">
        <v>0.68847846210683528</v>
      </c>
      <c r="N10" s="14">
        <v>128.53533128260813</v>
      </c>
      <c r="O10" s="14">
        <v>88.493807207842636</v>
      </c>
      <c r="P10" s="15">
        <v>5812323145.7949181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f>California!C11-Gateway!C11</f>
        <v>187275.33333333337</v>
      </c>
      <c r="D11" s="12">
        <f>California!D11-Gateway!D11</f>
        <v>128651.61294741172</v>
      </c>
      <c r="E11" s="13">
        <f t="shared" ref="E11:E13" si="3">D11/C11</f>
        <v>0.68696507253533134</v>
      </c>
      <c r="F11" s="14">
        <f t="shared" ref="F11:F13" si="4">H11/(D11*365)</f>
        <v>129.23643543441204</v>
      </c>
      <c r="G11" s="14">
        <f t="shared" ref="G11:G13" si="5">(H11/365)/C11</f>
        <v>88.780917242408549</v>
      </c>
      <c r="H11" s="15">
        <f>California!H11-Gateway!H11</f>
        <v>6068663692.6270676</v>
      </c>
      <c r="J11" s="11">
        <v>2019</v>
      </c>
      <c r="K11" s="12">
        <v>187275.33333333337</v>
      </c>
      <c r="L11" s="12">
        <v>128651.61294741172</v>
      </c>
      <c r="M11" s="23">
        <v>0.68696507253533134</v>
      </c>
      <c r="N11" s="14">
        <v>129.23643543441204</v>
      </c>
      <c r="O11" s="14">
        <v>88.780917242408549</v>
      </c>
      <c r="P11" s="15">
        <v>6068663692.6270676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f>California!C12-Gateway!C12</f>
        <v>187111.91666666669</v>
      </c>
      <c r="D12" s="12">
        <f>California!D12-Gateway!D12</f>
        <v>99488.872721986496</v>
      </c>
      <c r="E12" s="13">
        <f t="shared" si="3"/>
        <v>0.53170783825181178</v>
      </c>
      <c r="F12" s="14">
        <f t="shared" si="4"/>
        <v>117.3818484854131</v>
      </c>
      <c r="G12" s="14">
        <f t="shared" si="5"/>
        <v>62.412848908180706</v>
      </c>
      <c r="H12" s="15">
        <f>California!H12-Gateway!H12</f>
        <v>4262538541.10042</v>
      </c>
      <c r="J12" s="11">
        <v>2020</v>
      </c>
      <c r="K12" s="12">
        <v>187111.91666666669</v>
      </c>
      <c r="L12" s="12">
        <v>99488.872721986496</v>
      </c>
      <c r="M12" s="23">
        <v>0.53170783825181178</v>
      </c>
      <c r="N12" s="14">
        <v>117.3818484854131</v>
      </c>
      <c r="O12" s="14">
        <v>62.412848908180706</v>
      </c>
      <c r="P12" s="15">
        <v>4262538541.10042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f>California!C13-Gateway!C13</f>
        <v>194039.91666666669</v>
      </c>
      <c r="D13" s="12">
        <f>California!D13-Gateway!D13</f>
        <v>126066.83646118658</v>
      </c>
      <c r="E13" s="13">
        <f t="shared" si="3"/>
        <v>0.64969537519309339</v>
      </c>
      <c r="F13" s="14">
        <f t="shared" si="4"/>
        <v>145.62281689471914</v>
      </c>
      <c r="G13" s="14">
        <f t="shared" si="5"/>
        <v>94.610470659089671</v>
      </c>
      <c r="H13" s="15">
        <f>California!H13-Gateway!H13</f>
        <v>6700745862.5066147</v>
      </c>
      <c r="J13" s="11">
        <v>2021</v>
      </c>
      <c r="K13" s="12">
        <v>194039.91666666669</v>
      </c>
      <c r="L13" s="12">
        <v>126066.83646118658</v>
      </c>
      <c r="M13" s="23">
        <v>0.64969537519309339</v>
      </c>
      <c r="N13" s="14">
        <v>145.62281689471914</v>
      </c>
      <c r="O13" s="14">
        <v>94.610470659089671</v>
      </c>
      <c r="P13" s="15">
        <v>6700745862.5066147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f>California!C14-Gateway!C14</f>
        <v>196951.83333333337</v>
      </c>
      <c r="D14" s="12">
        <f>California!D14-Gateway!D14</f>
        <v>128163.89779128056</v>
      </c>
      <c r="E14" s="13">
        <f t="shared" ref="E14:E15" si="6">D14/C14</f>
        <v>0.65073726718942548</v>
      </c>
      <c r="F14" s="14">
        <f t="shared" ref="F14:F15" si="7">H14/(D14*365)</f>
        <v>163.29750455201466</v>
      </c>
      <c r="G14" s="14">
        <f t="shared" ref="G14:G15" si="8">(H14/365)/C14</f>
        <v>106.26377185103081</v>
      </c>
      <c r="H14" s="15">
        <f>California!H14-Gateway!H14</f>
        <v>7639028309.286087</v>
      </c>
      <c r="J14" s="11">
        <v>2022</v>
      </c>
      <c r="K14" s="12">
        <v>196951.83333333337</v>
      </c>
      <c r="L14" s="12">
        <v>128163.89779128056</v>
      </c>
      <c r="M14" s="23">
        <v>0.65073726718942548</v>
      </c>
      <c r="N14" s="14">
        <v>163.29750455201466</v>
      </c>
      <c r="O14" s="14">
        <v>106.26377185103081</v>
      </c>
      <c r="P14" s="15">
        <v>7639028309.286087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f>California!C15-Gateway!C15</f>
        <v>198487.41397849453</v>
      </c>
      <c r="D15" s="12">
        <f>California!D15-Gateway!D15</f>
        <v>124863.05810642597</v>
      </c>
      <c r="E15" s="13">
        <f t="shared" si="6"/>
        <v>0.6290729250971776</v>
      </c>
      <c r="F15" s="14">
        <f t="shared" si="7"/>
        <v>163.69366500596311</v>
      </c>
      <c r="G15" s="14">
        <f t="shared" si="8"/>
        <v>102.97525266517872</v>
      </c>
      <c r="H15" s="15">
        <f>California!H15-Gateway!H15</f>
        <v>7460341435.9320908</v>
      </c>
      <c r="J15" s="11">
        <v>2023</v>
      </c>
      <c r="K15" s="12">
        <v>198487.41397849453</v>
      </c>
      <c r="L15" s="12">
        <v>124863.05810642597</v>
      </c>
      <c r="M15" s="23">
        <v>0.6290729250971776</v>
      </c>
      <c r="N15" s="14">
        <v>163.69366500596311</v>
      </c>
      <c r="O15" s="14">
        <v>102.97525266517872</v>
      </c>
      <c r="P15" s="15">
        <v>7460341435.9320908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f>California!C16-Gateway!C16</f>
        <v>201177.16666666651</v>
      </c>
      <c r="D16" s="12">
        <f>California!D16-Gateway!D16</f>
        <v>124531.5489887353</v>
      </c>
      <c r="E16" s="13">
        <f t="shared" ref="E16" si="9">D16/C16</f>
        <v>0.6190143297677192</v>
      </c>
      <c r="F16" s="14">
        <f t="shared" ref="F16" si="10">H16/(D16*365)</f>
        <v>163.53420607196236</v>
      </c>
      <c r="G16" s="14">
        <f t="shared" ref="G16" si="11">(H16/365)/C16</f>
        <v>101.23001696573185</v>
      </c>
      <c r="H16" s="15">
        <f>California!H16-Gateway!H16</f>
        <v>7433286318.0963478</v>
      </c>
      <c r="J16" s="11">
        <v>2024</v>
      </c>
      <c r="K16" s="12">
        <v>201177.16666666651</v>
      </c>
      <c r="L16" s="12">
        <v>124531.5489887353</v>
      </c>
      <c r="M16" s="23">
        <v>0.6190143297677192</v>
      </c>
      <c r="N16" s="14">
        <v>163.53420607196236</v>
      </c>
      <c r="O16" s="14">
        <v>101.23001696573185</v>
      </c>
      <c r="P16" s="15">
        <v>7433286318.0963478</v>
      </c>
      <c r="Q16" s="12"/>
      <c r="R16" s="25"/>
      <c r="S16" s="25"/>
      <c r="T16" s="24"/>
      <c r="U16" s="26"/>
      <c r="V16" s="26"/>
      <c r="W16" s="27"/>
    </row>
    <row r="17" spans="2:23" s="6" customFormat="1" ht="10.25" customHeight="1" outlineLevel="1" x14ac:dyDescent="0.15">
      <c r="B17" s="11">
        <v>2025</v>
      </c>
      <c r="C17" s="12">
        <f>California!C17-Gateway!C17</f>
        <v>203530.74999999994</v>
      </c>
      <c r="D17" s="12">
        <f>California!D17-Gateway!D17</f>
        <v>126080.17034351692</v>
      </c>
      <c r="E17" s="13">
        <f t="shared" ref="E17" si="12">D17/C17</f>
        <v>0.61946497196869243</v>
      </c>
      <c r="F17" s="14">
        <f t="shared" ref="F17" si="13">H17/(D17*365)</f>
        <v>164.45604911728094</v>
      </c>
      <c r="G17" s="14">
        <f t="shared" ref="G17" si="14">(H17/365)/C17</f>
        <v>101.87476185651833</v>
      </c>
      <c r="H17" s="15">
        <f>California!H17-Gateway!H17</f>
        <v>7568146040.6559258</v>
      </c>
      <c r="J17" s="11">
        <v>2025</v>
      </c>
      <c r="K17" s="12">
        <v>203530.74999999994</v>
      </c>
      <c r="L17" s="12">
        <v>126080.17034351692</v>
      </c>
      <c r="M17" s="23">
        <v>0.61946497196869243</v>
      </c>
      <c r="N17" s="14">
        <v>164.45604911728094</v>
      </c>
      <c r="O17" s="14">
        <v>101.87476185651833</v>
      </c>
      <c r="P17" s="15">
        <v>7568146040.6559258</v>
      </c>
      <c r="Q17" s="12"/>
      <c r="R17" s="25">
        <f t="shared" ref="R17:W20" si="15">C17-K17</f>
        <v>0</v>
      </c>
      <c r="S17" s="25">
        <f t="shared" si="15"/>
        <v>0</v>
      </c>
      <c r="T17" s="24">
        <f t="shared" si="15"/>
        <v>0</v>
      </c>
      <c r="U17" s="26">
        <f t="shared" si="15"/>
        <v>0</v>
      </c>
      <c r="V17" s="26">
        <f t="shared" si="15"/>
        <v>0</v>
      </c>
      <c r="W17" s="27">
        <f t="shared" si="15"/>
        <v>0</v>
      </c>
    </row>
    <row r="18" spans="2:23" s="6" customFormat="1" outlineLevel="1" x14ac:dyDescent="0.15">
      <c r="B18" s="11">
        <v>2026</v>
      </c>
      <c r="C18" s="12">
        <f>California!C18-Gateway!C18</f>
        <v>206038.29166666663</v>
      </c>
      <c r="D18" s="12">
        <f>California!D18-Gateway!D18</f>
        <v>128734.24974872771</v>
      </c>
      <c r="E18" s="13">
        <f t="shared" ref="E18" si="16">D18/C18</f>
        <v>0.62480740209687269</v>
      </c>
      <c r="F18" s="14">
        <f t="shared" ref="F18" si="17">H18/(D18*365)</f>
        <v>167.29060110960546</v>
      </c>
      <c r="G18" s="14">
        <f t="shared" ref="G18" si="18">(H18/365)/C18</f>
        <v>104.52440587451682</v>
      </c>
      <c r="H18" s="15">
        <f>California!H18-Gateway!H18</f>
        <v>7860650958.7084389</v>
      </c>
      <c r="J18" s="11">
        <v>2026</v>
      </c>
      <c r="K18" s="12">
        <v>207699.50000000006</v>
      </c>
      <c r="L18" s="12">
        <v>127496.14795468969</v>
      </c>
      <c r="M18" s="23">
        <v>0.61384908463761179</v>
      </c>
      <c r="N18" s="14">
        <v>166.09889903447984</v>
      </c>
      <c r="O18" s="14">
        <v>101.95965713163055</v>
      </c>
      <c r="P18" s="15">
        <v>7729593979.3400536</v>
      </c>
      <c r="Q18" s="12"/>
      <c r="R18" s="25">
        <f t="shared" si="15"/>
        <v>-1661.2083333334303</v>
      </c>
      <c r="S18" s="25">
        <f t="shared" si="15"/>
        <v>1238.1017940380261</v>
      </c>
      <c r="T18" s="24">
        <f t="shared" si="15"/>
        <v>1.0958317459260902E-2</v>
      </c>
      <c r="U18" s="26">
        <f t="shared" si="15"/>
        <v>1.1917020751256189</v>
      </c>
      <c r="V18" s="26">
        <f t="shared" si="15"/>
        <v>2.5647487428862661</v>
      </c>
      <c r="W18" s="27">
        <f t="shared" si="15"/>
        <v>131056979.36838531</v>
      </c>
    </row>
    <row r="19" spans="2:23" s="6" customFormat="1" outlineLevel="1" x14ac:dyDescent="0.15">
      <c r="B19" s="11">
        <v>2027</v>
      </c>
      <c r="C19" s="12">
        <f>California!C19-Gateway!C19</f>
        <v>209372.73333333328</v>
      </c>
      <c r="D19" s="12">
        <f>California!D19-Gateway!D19</f>
        <v>130349.12802415993</v>
      </c>
      <c r="E19" s="13">
        <f t="shared" ref="E19" si="19">D19/C19</f>
        <v>0.62256973937784299</v>
      </c>
      <c r="F19" s="14">
        <f t="shared" ref="F19" si="20">H19/(D19*365)</f>
        <v>169.18307437771199</v>
      </c>
      <c r="G19" s="14">
        <f t="shared" ref="G19" si="21">(H19/365)/C19</f>
        <v>105.32826252247439</v>
      </c>
      <c r="H19" s="15">
        <f>California!H19-Gateway!H19</f>
        <v>8049296170.8771935</v>
      </c>
      <c r="J19" s="11">
        <v>2027</v>
      </c>
      <c r="K19" s="12">
        <v>210845.82500000001</v>
      </c>
      <c r="L19" s="12">
        <v>129697.87956647226</v>
      </c>
      <c r="M19" s="23">
        <v>0.61513136229504306</v>
      </c>
      <c r="N19" s="14">
        <v>168.22295921219816</v>
      </c>
      <c r="O19" s="14">
        <v>103.47921806950293</v>
      </c>
      <c r="P19" s="15">
        <v>7963628803.0400276</v>
      </c>
      <c r="Q19" s="12"/>
      <c r="R19" s="25">
        <f t="shared" si="15"/>
        <v>-1473.0916666667326</v>
      </c>
      <c r="S19" s="25">
        <f t="shared" si="15"/>
        <v>651.24845768767409</v>
      </c>
      <c r="T19" s="24">
        <f t="shared" si="15"/>
        <v>7.4383770827999296E-3</v>
      </c>
      <c r="U19" s="26">
        <f t="shared" si="15"/>
        <v>0.9601151655138267</v>
      </c>
      <c r="V19" s="26">
        <f t="shared" si="15"/>
        <v>1.8490444529714551</v>
      </c>
      <c r="W19" s="27">
        <f t="shared" si="15"/>
        <v>85667367.837165833</v>
      </c>
    </row>
    <row r="20" spans="2:23" s="6" customFormat="1" outlineLevel="1" x14ac:dyDescent="0.15">
      <c r="B20" s="11">
        <v>2028</v>
      </c>
      <c r="C20" s="12">
        <f>California!C20-Gateway!C20</f>
        <v>214702.65031389659</v>
      </c>
      <c r="D20" s="12">
        <f>California!D20-Gateway!D20</f>
        <v>132459.20667955471</v>
      </c>
      <c r="E20" s="13">
        <f t="shared" ref="E20" si="22">D20/C20</f>
        <v>0.61694257842601641</v>
      </c>
      <c r="F20" s="14">
        <f t="shared" ref="F20" si="23">H20/(D20*365)</f>
        <v>171.99493124965281</v>
      </c>
      <c r="G20" s="14">
        <f t="shared" ref="G20" si="24">(H20/365)/C20</f>
        <v>106.11099636136622</v>
      </c>
      <c r="H20" s="15">
        <f>California!H20-Gateway!H20</f>
        <v>8315543933.3752518</v>
      </c>
      <c r="J20" s="11">
        <v>2028</v>
      </c>
      <c r="K20" s="12">
        <v>213622.22337918635</v>
      </c>
      <c r="L20" s="12">
        <v>132015.08782589197</v>
      </c>
      <c r="M20" s="23">
        <v>0.61798386767822799</v>
      </c>
      <c r="N20" s="14">
        <v>171.05279589643985</v>
      </c>
      <c r="O20" s="14">
        <v>105.70786838525642</v>
      </c>
      <c r="P20" s="15">
        <v>8242265703.6935005</v>
      </c>
      <c r="Q20" s="12"/>
      <c r="R20" s="25">
        <f t="shared" si="15"/>
        <v>1080.4269347102381</v>
      </c>
      <c r="S20" s="25">
        <f t="shared" si="15"/>
        <v>444.1188536627451</v>
      </c>
      <c r="T20" s="24">
        <f t="shared" si="15"/>
        <v>-1.0412892522115857E-3</v>
      </c>
      <c r="U20" s="26">
        <f t="shared" si="15"/>
        <v>0.94213535321296149</v>
      </c>
      <c r="V20" s="26">
        <f t="shared" si="15"/>
        <v>0.40312797610980056</v>
      </c>
      <c r="W20" s="27">
        <f t="shared" si="15"/>
        <v>73278229.681751251</v>
      </c>
    </row>
    <row r="21" spans="2:23" s="6" customFormat="1" outlineLevel="1" x14ac:dyDescent="0.15">
      <c r="B21" s="11">
        <v>2029</v>
      </c>
      <c r="C21" s="12">
        <f>California!C21-Gateway!C21</f>
        <v>217109.06571660208</v>
      </c>
      <c r="D21" s="12">
        <f>California!D21-Gateway!D21</f>
        <v>134643.03697476437</v>
      </c>
      <c r="E21" s="13">
        <f t="shared" ref="E21" si="25">D21/C21</f>
        <v>0.62016312644685834</v>
      </c>
      <c r="F21" s="14">
        <f t="shared" ref="F21" si="26">H21/(D21*365)</f>
        <v>174.86571526775964</v>
      </c>
      <c r="G21" s="14">
        <f t="shared" ref="G21" si="27">(H21/365)/C21</f>
        <v>108.44526868881997</v>
      </c>
      <c r="H21" s="15">
        <f>California!H21-Gateway!H21</f>
        <v>8593724602.7416878</v>
      </c>
      <c r="J21" s="11">
        <v>2029</v>
      </c>
      <c r="K21" s="12">
        <v>216019.59352485742</v>
      </c>
      <c r="L21" s="12">
        <v>134144.89026425441</v>
      </c>
      <c r="M21" s="23">
        <v>0.6209848286230496</v>
      </c>
      <c r="N21" s="14">
        <v>174.01375591065172</v>
      </c>
      <c r="O21" s="14">
        <v>108.05990239222925</v>
      </c>
      <c r="P21" s="15">
        <v>8520215509.7533722</v>
      </c>
      <c r="Q21" s="12"/>
      <c r="R21" s="25">
        <f t="shared" ref="R21" si="28">C21-K21</f>
        <v>1089.4721917446586</v>
      </c>
      <c r="S21" s="25">
        <f t="shared" ref="S21" si="29">D21-L21</f>
        <v>498.14671050995821</v>
      </c>
      <c r="T21" s="24">
        <f t="shared" ref="T21" si="30">E21-M21</f>
        <v>-8.2170217619126351E-4</v>
      </c>
      <c r="U21" s="26">
        <f t="shared" ref="U21" si="31">F21-N21</f>
        <v>0.85195935710791559</v>
      </c>
      <c r="V21" s="26">
        <f t="shared" ref="V21" si="32">G21-O21</f>
        <v>0.38536629659071764</v>
      </c>
      <c r="W21" s="27">
        <f t="shared" ref="W21" si="33">H21-P21</f>
        <v>73509092.988315582</v>
      </c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f t="shared" ref="C24:H33" si="34">C6/C5-1</f>
        <v>5.9885125164869102E-3</v>
      </c>
      <c r="D24" s="13">
        <f t="shared" si="34"/>
        <v>3.7224688859741173E-2</v>
      </c>
      <c r="E24" s="13">
        <f t="shared" si="34"/>
        <v>3.1050231642423709E-2</v>
      </c>
      <c r="F24" s="13" t="e">
        <f t="shared" si="34"/>
        <v>#DIV/0!</v>
      </c>
      <c r="G24" s="13" t="e">
        <f t="shared" si="34"/>
        <v>#DIV/0!</v>
      </c>
      <c r="H24" s="13" t="e">
        <f t="shared" si="34"/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f t="shared" si="34"/>
        <v>1.3209248628540671E-3</v>
      </c>
      <c r="D25" s="13">
        <f t="shared" si="34"/>
        <v>5.064711213806361E-2</v>
      </c>
      <c r="E25" s="13">
        <f t="shared" si="34"/>
        <v>4.9261117040938274E-2</v>
      </c>
      <c r="F25" s="13">
        <f t="shared" si="34"/>
        <v>5.1622226481056188E-2</v>
      </c>
      <c r="G25" s="13">
        <f t="shared" si="34"/>
        <v>0.10342631206259201</v>
      </c>
      <c r="H25" s="13">
        <f t="shared" si="34"/>
        <v>0.10488385531252264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f t="shared" si="34"/>
        <v>1.9745477480686002E-3</v>
      </c>
      <c r="D26" s="13">
        <f t="shared" si="34"/>
        <v>2.0978019265158965E-2</v>
      </c>
      <c r="E26" s="13">
        <f t="shared" si="34"/>
        <v>1.8966022200664456E-2</v>
      </c>
      <c r="F26" s="13">
        <f t="shared" si="34"/>
        <v>5.8229425693776093E-2</v>
      </c>
      <c r="G26" s="13">
        <f t="shared" si="34"/>
        <v>7.8299828474880595E-2</v>
      </c>
      <c r="H26" s="13">
        <f t="shared" si="34"/>
        <v>8.0428982972938323E-2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f t="shared" si="34"/>
        <v>4.5065182892998212E-3</v>
      </c>
      <c r="D27" s="13">
        <f t="shared" si="34"/>
        <v>1.9207800007273512E-2</v>
      </c>
      <c r="E27" s="13">
        <f t="shared" si="34"/>
        <v>1.4635327347611859E-2</v>
      </c>
      <c r="F27" s="13">
        <f t="shared" si="34"/>
        <v>3.4882597860517173E-2</v>
      </c>
      <c r="G27" s="13">
        <f t="shared" si="34"/>
        <v>5.0028443446552995E-2</v>
      </c>
      <c r="H27" s="13">
        <f t="shared" si="34"/>
        <v>5.4760415831229814E-2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f t="shared" si="34"/>
        <v>1.5891647558174737E-2</v>
      </c>
      <c r="D28" s="13">
        <f t="shared" si="34"/>
        <v>2.0306143565205659E-2</v>
      </c>
      <c r="E28" s="13">
        <f t="shared" si="34"/>
        <v>4.3454398090994051E-3</v>
      </c>
      <c r="F28" s="13">
        <f t="shared" si="34"/>
        <v>3.8356304301524258E-2</v>
      </c>
      <c r="G28" s="13">
        <f t="shared" si="34"/>
        <v>4.2868419122265466E-2</v>
      </c>
      <c r="H28" s="13">
        <f t="shared" si="34"/>
        <v>5.9441316488507479E-2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f>B11</f>
        <v>2019</v>
      </c>
      <c r="C29" s="13">
        <f t="shared" si="34"/>
        <v>4.0726400078541891E-2</v>
      </c>
      <c r="D29" s="13">
        <f t="shared" si="34"/>
        <v>3.8438711258403924E-2</v>
      </c>
      <c r="E29" s="13">
        <f t="shared" si="34"/>
        <v>-2.1981654544032114E-3</v>
      </c>
      <c r="F29" s="13">
        <f t="shared" si="34"/>
        <v>5.454563697061765E-3</v>
      </c>
      <c r="G29" s="13">
        <f t="shared" si="34"/>
        <v>3.2444082091709348E-3</v>
      </c>
      <c r="H29" s="13">
        <f t="shared" si="34"/>
        <v>4.4102941354457581E-2</v>
      </c>
      <c r="J29" s="11">
        <v>2019</v>
      </c>
      <c r="K29" s="13">
        <f t="shared" ref="K29:P39" si="35">K11/K10-1</f>
        <v>4.0726400078541891E-2</v>
      </c>
      <c r="L29" s="13">
        <f t="shared" si="35"/>
        <v>3.8438711258403924E-2</v>
      </c>
      <c r="M29" s="13">
        <f t="shared" si="35"/>
        <v>-2.1981654544032114E-3</v>
      </c>
      <c r="N29" s="13">
        <f t="shared" si="35"/>
        <v>5.454563697061765E-3</v>
      </c>
      <c r="O29" s="13">
        <f t="shared" si="35"/>
        <v>3.2444082091709348E-3</v>
      </c>
      <c r="P29" s="13">
        <f t="shared" si="35"/>
        <v>4.4102941354457581E-2</v>
      </c>
      <c r="Q29" s="13"/>
      <c r="R29" s="22">
        <f t="shared" ref="R29:R38" si="36">C29-K29</f>
        <v>0</v>
      </c>
      <c r="S29" s="22">
        <f t="shared" ref="S29:S38" si="37">D29-L29</f>
        <v>0</v>
      </c>
      <c r="T29" s="22">
        <f t="shared" ref="T29:T38" si="38">E29-M29</f>
        <v>0</v>
      </c>
      <c r="U29" s="22">
        <f t="shared" ref="U29:U38" si="39">F29-N29</f>
        <v>0</v>
      </c>
      <c r="V29" s="22">
        <f t="shared" ref="V29:V38" si="40">G29-O29</f>
        <v>0</v>
      </c>
      <c r="W29" s="22">
        <f t="shared" ref="W29:W38" si="41">H29-P29</f>
        <v>0</v>
      </c>
    </row>
    <row r="30" spans="2:23" s="6" customFormat="1" x14ac:dyDescent="0.15">
      <c r="B30" s="11">
        <f>B12</f>
        <v>2020</v>
      </c>
      <c r="C30" s="13">
        <f t="shared" si="34"/>
        <v>-8.7260112561549086E-4</v>
      </c>
      <c r="D30" s="13">
        <f t="shared" si="34"/>
        <v>-0.22667994249979539</v>
      </c>
      <c r="E30" s="13">
        <f t="shared" si="34"/>
        <v>-0.22600455320169788</v>
      </c>
      <c r="F30" s="13">
        <f t="shared" si="34"/>
        <v>-9.1727900952631836E-2</v>
      </c>
      <c r="G30" s="13">
        <f t="shared" si="34"/>
        <v>-0.29700153088340064</v>
      </c>
      <c r="H30" s="13">
        <f t="shared" si="34"/>
        <v>-0.29761496813885779</v>
      </c>
      <c r="J30" s="11">
        <v>2020</v>
      </c>
      <c r="K30" s="13">
        <f t="shared" si="35"/>
        <v>-8.7260112561549086E-4</v>
      </c>
      <c r="L30" s="13">
        <f t="shared" si="35"/>
        <v>-0.22667994249979539</v>
      </c>
      <c r="M30" s="13">
        <f t="shared" si="35"/>
        <v>-0.22600455320169788</v>
      </c>
      <c r="N30" s="13">
        <f t="shared" si="35"/>
        <v>-9.1727900952631836E-2</v>
      </c>
      <c r="O30" s="13">
        <f t="shared" si="35"/>
        <v>-0.29700153088340064</v>
      </c>
      <c r="P30" s="13">
        <f t="shared" si="35"/>
        <v>-0.29761496813885779</v>
      </c>
      <c r="Q30" s="13"/>
      <c r="R30" s="22">
        <f t="shared" si="36"/>
        <v>0</v>
      </c>
      <c r="S30" s="22">
        <f t="shared" si="37"/>
        <v>0</v>
      </c>
      <c r="T30" s="22">
        <f t="shared" si="38"/>
        <v>0</v>
      </c>
      <c r="U30" s="22">
        <f t="shared" si="39"/>
        <v>0</v>
      </c>
      <c r="V30" s="22">
        <f t="shared" si="40"/>
        <v>0</v>
      </c>
      <c r="W30" s="22">
        <f t="shared" si="41"/>
        <v>0</v>
      </c>
    </row>
    <row r="31" spans="2:23" s="6" customFormat="1" x14ac:dyDescent="0.15">
      <c r="B31" s="11">
        <f>B13</f>
        <v>2021</v>
      </c>
      <c r="C31" s="13">
        <f t="shared" si="34"/>
        <v>3.7025968860882275E-2</v>
      </c>
      <c r="D31" s="13">
        <f t="shared" si="34"/>
        <v>0.26714508881279642</v>
      </c>
      <c r="E31" s="13">
        <f t="shared" si="34"/>
        <v>0.22190294829809121</v>
      </c>
      <c r="F31" s="13">
        <f t="shared" si="34"/>
        <v>0.24059059193309174</v>
      </c>
      <c r="G31" s="13">
        <f t="shared" si="34"/>
        <v>0.51588130191391879</v>
      </c>
      <c r="H31" s="13">
        <f t="shared" si="34"/>
        <v>0.5720082757953775</v>
      </c>
      <c r="J31" s="11">
        <v>2021</v>
      </c>
      <c r="K31" s="13">
        <f t="shared" si="35"/>
        <v>3.7025968860882275E-2</v>
      </c>
      <c r="L31" s="13">
        <f t="shared" si="35"/>
        <v>0.26714508881279642</v>
      </c>
      <c r="M31" s="13">
        <f t="shared" si="35"/>
        <v>0.22190294829809121</v>
      </c>
      <c r="N31" s="13">
        <f t="shared" si="35"/>
        <v>0.24059059193309174</v>
      </c>
      <c r="O31" s="13">
        <f t="shared" si="35"/>
        <v>0.51588130191391879</v>
      </c>
      <c r="P31" s="13">
        <f t="shared" si="35"/>
        <v>0.5720082757953775</v>
      </c>
      <c r="Q31" s="13"/>
      <c r="R31" s="22">
        <f t="shared" si="36"/>
        <v>0</v>
      </c>
      <c r="S31" s="22">
        <f t="shared" si="37"/>
        <v>0</v>
      </c>
      <c r="T31" s="22">
        <f t="shared" si="38"/>
        <v>0</v>
      </c>
      <c r="U31" s="22">
        <f t="shared" si="39"/>
        <v>0</v>
      </c>
      <c r="V31" s="22">
        <f t="shared" si="40"/>
        <v>0</v>
      </c>
      <c r="W31" s="22">
        <f t="shared" si="41"/>
        <v>0</v>
      </c>
    </row>
    <row r="32" spans="2:23" s="6" customFormat="1" outlineLevel="1" x14ac:dyDescent="0.15">
      <c r="B32" s="11">
        <f>B14</f>
        <v>2022</v>
      </c>
      <c r="C32" s="13">
        <f t="shared" si="34"/>
        <v>1.5006791987387524E-2</v>
      </c>
      <c r="D32" s="13">
        <f t="shared" si="34"/>
        <v>1.66345201399547E-2</v>
      </c>
      <c r="E32" s="13">
        <f t="shared" si="34"/>
        <v>1.6036623256283633E-3</v>
      </c>
      <c r="F32" s="13">
        <f t="shared" si="34"/>
        <v>0.1213730652530487</v>
      </c>
      <c r="G32" s="13">
        <f t="shared" si="34"/>
        <v>0.12317136899076986</v>
      </c>
      <c r="H32" s="13">
        <f t="shared" si="34"/>
        <v>0.14002656809140346</v>
      </c>
      <c r="J32" s="11">
        <v>2022</v>
      </c>
      <c r="K32" s="13">
        <f t="shared" si="35"/>
        <v>1.5006791987387524E-2</v>
      </c>
      <c r="L32" s="13">
        <f t="shared" si="35"/>
        <v>1.66345201399547E-2</v>
      </c>
      <c r="M32" s="13">
        <f t="shared" si="35"/>
        <v>1.6036623256283633E-3</v>
      </c>
      <c r="N32" s="13">
        <f t="shared" si="35"/>
        <v>0.1213730652530487</v>
      </c>
      <c r="O32" s="13">
        <f t="shared" si="35"/>
        <v>0.12317136899076986</v>
      </c>
      <c r="P32" s="13">
        <f t="shared" si="35"/>
        <v>0.14002656809140346</v>
      </c>
      <c r="Q32" s="13"/>
      <c r="R32" s="22">
        <f t="shared" si="36"/>
        <v>0</v>
      </c>
      <c r="S32" s="22">
        <f t="shared" si="37"/>
        <v>0</v>
      </c>
      <c r="T32" s="22">
        <f t="shared" si="38"/>
        <v>0</v>
      </c>
      <c r="U32" s="22">
        <f t="shared" si="39"/>
        <v>0</v>
      </c>
      <c r="V32" s="22">
        <f t="shared" si="40"/>
        <v>0</v>
      </c>
      <c r="W32" s="22">
        <f t="shared" si="41"/>
        <v>0</v>
      </c>
    </row>
    <row r="33" spans="2:23" s="6" customFormat="1" outlineLevel="1" x14ac:dyDescent="0.15">
      <c r="B33" s="11">
        <v>2023</v>
      </c>
      <c r="C33" s="13">
        <f t="shared" si="34"/>
        <v>7.7967319175051841E-3</v>
      </c>
      <c r="D33" s="13">
        <f t="shared" si="34"/>
        <v>-2.5754832224517021E-2</v>
      </c>
      <c r="E33" s="13">
        <f t="shared" si="34"/>
        <v>-3.3291995379052919E-2</v>
      </c>
      <c r="F33" s="13">
        <f t="shared" si="34"/>
        <v>2.4260043350647909E-3</v>
      </c>
      <c r="G33" s="13">
        <f t="shared" si="34"/>
        <v>-3.0946757569100813E-2</v>
      </c>
      <c r="H33" s="13">
        <f t="shared" si="34"/>
        <v>-2.339130922407795E-2</v>
      </c>
      <c r="J33" s="11">
        <v>2023</v>
      </c>
      <c r="K33" s="13">
        <f t="shared" si="35"/>
        <v>7.7967319175051841E-3</v>
      </c>
      <c r="L33" s="13">
        <f t="shared" si="35"/>
        <v>-2.5754832224517021E-2</v>
      </c>
      <c r="M33" s="13">
        <f t="shared" si="35"/>
        <v>-3.3291995379052919E-2</v>
      </c>
      <c r="N33" s="13">
        <f t="shared" si="35"/>
        <v>2.4260043350647909E-3</v>
      </c>
      <c r="O33" s="13">
        <f t="shared" si="35"/>
        <v>-3.0946757569100813E-2</v>
      </c>
      <c r="P33" s="13">
        <f t="shared" si="35"/>
        <v>-2.339130922407795E-2</v>
      </c>
      <c r="Q33" s="13"/>
      <c r="R33" s="22">
        <f t="shared" si="36"/>
        <v>0</v>
      </c>
      <c r="S33" s="22">
        <f t="shared" si="37"/>
        <v>0</v>
      </c>
      <c r="T33" s="22">
        <f t="shared" si="38"/>
        <v>0</v>
      </c>
      <c r="U33" s="22">
        <f t="shared" si="39"/>
        <v>0</v>
      </c>
      <c r="V33" s="22">
        <f t="shared" si="40"/>
        <v>0</v>
      </c>
      <c r="W33" s="22">
        <f t="shared" si="41"/>
        <v>0</v>
      </c>
    </row>
    <row r="34" spans="2:23" s="6" customFormat="1" outlineLevel="1" x14ac:dyDescent="0.15">
      <c r="B34" s="11">
        <v>2024</v>
      </c>
      <c r="C34" s="13">
        <f t="shared" ref="C34:H39" si="42">C16/C15-1</f>
        <v>1.3551250602032772E-2</v>
      </c>
      <c r="D34" s="13">
        <f t="shared" si="42"/>
        <v>-2.654981567151049E-3</v>
      </c>
      <c r="E34" s="13">
        <f t="shared" si="42"/>
        <v>-1.5989553719713112E-2</v>
      </c>
      <c r="F34" s="13">
        <f t="shared" si="42"/>
        <v>-9.741301472780961E-4</v>
      </c>
      <c r="G34" s="13">
        <f t="shared" si="42"/>
        <v>-1.6948107960671366E-2</v>
      </c>
      <c r="H34" s="13">
        <f t="shared" si="42"/>
        <v>-3.6265254168440508E-3</v>
      </c>
      <c r="J34" s="11">
        <v>2024</v>
      </c>
      <c r="K34" s="13">
        <f t="shared" si="35"/>
        <v>1.3551250602032772E-2</v>
      </c>
      <c r="L34" s="13">
        <f t="shared" si="35"/>
        <v>-2.654981567151049E-3</v>
      </c>
      <c r="M34" s="13">
        <f t="shared" si="35"/>
        <v>-1.5989553719713112E-2</v>
      </c>
      <c r="N34" s="13">
        <f t="shared" si="35"/>
        <v>-9.741301472780961E-4</v>
      </c>
      <c r="O34" s="13">
        <f t="shared" si="35"/>
        <v>-1.6948107960671366E-2</v>
      </c>
      <c r="P34" s="13">
        <f t="shared" si="35"/>
        <v>-3.6265254168440508E-3</v>
      </c>
      <c r="Q34" s="13"/>
      <c r="R34" s="22">
        <f t="shared" si="36"/>
        <v>0</v>
      </c>
      <c r="S34" s="22">
        <f t="shared" si="37"/>
        <v>0</v>
      </c>
      <c r="T34" s="22">
        <f t="shared" si="38"/>
        <v>0</v>
      </c>
      <c r="U34" s="22">
        <f t="shared" si="39"/>
        <v>0</v>
      </c>
      <c r="V34" s="22">
        <f t="shared" si="40"/>
        <v>0</v>
      </c>
      <c r="W34" s="22">
        <f t="shared" si="41"/>
        <v>0</v>
      </c>
    </row>
    <row r="35" spans="2:23" s="6" customFormat="1" outlineLevel="1" x14ac:dyDescent="0.15">
      <c r="B35" s="11">
        <v>2025</v>
      </c>
      <c r="C35" s="13">
        <f t="shared" si="42"/>
        <v>1.1699057961349624E-2</v>
      </c>
      <c r="D35" s="13">
        <f t="shared" si="42"/>
        <v>1.243557449784638E-2</v>
      </c>
      <c r="E35" s="13">
        <f t="shared" si="42"/>
        <v>7.2799962666825202E-4</v>
      </c>
      <c r="F35" s="13">
        <f t="shared" si="42"/>
        <v>5.6370044375482209E-3</v>
      </c>
      <c r="G35" s="13">
        <f t="shared" si="42"/>
        <v>6.3691078013425884E-3</v>
      </c>
      <c r="H35" s="13">
        <f t="shared" si="42"/>
        <v>1.8142678324022166E-2</v>
      </c>
      <c r="J35" s="11">
        <v>2025</v>
      </c>
      <c r="K35" s="13">
        <f t="shared" si="35"/>
        <v>1.1699057961349624E-2</v>
      </c>
      <c r="L35" s="13">
        <f t="shared" si="35"/>
        <v>1.243557449784638E-2</v>
      </c>
      <c r="M35" s="13">
        <f t="shared" si="35"/>
        <v>7.2799962666825202E-4</v>
      </c>
      <c r="N35" s="13">
        <f t="shared" si="35"/>
        <v>5.6370044375482209E-3</v>
      </c>
      <c r="O35" s="13">
        <f t="shared" si="35"/>
        <v>6.3691078013425884E-3</v>
      </c>
      <c r="P35" s="13">
        <f t="shared" si="35"/>
        <v>1.8142678324022166E-2</v>
      </c>
      <c r="Q35" s="13"/>
      <c r="R35" s="22">
        <f t="shared" si="36"/>
        <v>0</v>
      </c>
      <c r="S35" s="22">
        <f t="shared" si="37"/>
        <v>0</v>
      </c>
      <c r="T35" s="22">
        <f t="shared" si="38"/>
        <v>0</v>
      </c>
      <c r="U35" s="22">
        <f t="shared" si="39"/>
        <v>0</v>
      </c>
      <c r="V35" s="22">
        <f t="shared" si="40"/>
        <v>0</v>
      </c>
      <c r="W35" s="22">
        <f t="shared" si="41"/>
        <v>0</v>
      </c>
    </row>
    <row r="36" spans="2:23" s="6" customFormat="1" outlineLevel="1" x14ac:dyDescent="0.15">
      <c r="B36" s="11">
        <v>2026</v>
      </c>
      <c r="C36" s="13">
        <f t="shared" si="42"/>
        <v>1.2320210418655053E-2</v>
      </c>
      <c r="D36" s="13">
        <f t="shared" si="42"/>
        <v>2.1050728262656415E-2</v>
      </c>
      <c r="E36" s="13">
        <f t="shared" si="42"/>
        <v>8.6242650834666978E-3</v>
      </c>
      <c r="F36" s="13">
        <f t="shared" si="42"/>
        <v>1.7235924172683159E-2</v>
      </c>
      <c r="G36" s="13">
        <f t="shared" si="42"/>
        <v>2.6008836435174043E-2</v>
      </c>
      <c r="H36" s="13">
        <f t="shared" si="42"/>
        <v>3.8649481191454615E-2</v>
      </c>
      <c r="J36" s="11">
        <v>2026</v>
      </c>
      <c r="K36" s="13">
        <f t="shared" si="35"/>
        <v>2.0482163014680088E-2</v>
      </c>
      <c r="L36" s="13">
        <f t="shared" si="35"/>
        <v>1.1230771717033683E-2</v>
      </c>
      <c r="M36" s="13">
        <f t="shared" si="35"/>
        <v>-9.065706028918874E-3</v>
      </c>
      <c r="N36" s="13">
        <f t="shared" si="35"/>
        <v>9.9895985949858268E-3</v>
      </c>
      <c r="O36" s="13">
        <f t="shared" si="35"/>
        <v>8.3332980185790717E-4</v>
      </c>
      <c r="P36" s="13">
        <f t="shared" si="35"/>
        <v>2.1332561213384782E-2</v>
      </c>
      <c r="Q36" s="13"/>
      <c r="R36" s="22">
        <f t="shared" si="36"/>
        <v>-8.161952596025035E-3</v>
      </c>
      <c r="S36" s="22">
        <f t="shared" si="37"/>
        <v>9.8199565456227322E-3</v>
      </c>
      <c r="T36" s="22">
        <f t="shared" si="38"/>
        <v>1.7689971112385572E-2</v>
      </c>
      <c r="U36" s="22">
        <f t="shared" si="39"/>
        <v>7.2463255776973323E-3</v>
      </c>
      <c r="V36" s="22">
        <f t="shared" si="40"/>
        <v>2.5175506633316136E-2</v>
      </c>
      <c r="W36" s="22">
        <f t="shared" si="41"/>
        <v>1.7316919978069834E-2</v>
      </c>
    </row>
    <row r="37" spans="2:23" s="6" customFormat="1" outlineLevel="1" x14ac:dyDescent="0.15">
      <c r="B37" s="11">
        <v>2027</v>
      </c>
      <c r="C37" s="13">
        <f t="shared" si="42"/>
        <v>1.6183601794083957E-2</v>
      </c>
      <c r="D37" s="13">
        <f t="shared" si="42"/>
        <v>1.2544278454135194E-2</v>
      </c>
      <c r="E37" s="13">
        <f t="shared" si="42"/>
        <v>-3.5813639715535084E-3</v>
      </c>
      <c r="F37" s="13">
        <f t="shared" si="42"/>
        <v>1.1312490095403582E-2</v>
      </c>
      <c r="G37" s="13">
        <f t="shared" si="42"/>
        <v>7.6906119793938021E-3</v>
      </c>
      <c r="H37" s="13">
        <f t="shared" si="42"/>
        <v>2.3998675575304995E-2</v>
      </c>
      <c r="J37" s="11">
        <v>2027</v>
      </c>
      <c r="K37" s="13">
        <f t="shared" si="35"/>
        <v>1.5148447637090889E-2</v>
      </c>
      <c r="L37" s="13">
        <f t="shared" si="35"/>
        <v>1.7269004962918721E-2</v>
      </c>
      <c r="M37" s="13">
        <f t="shared" si="35"/>
        <v>2.0889135286212834E-3</v>
      </c>
      <c r="N37" s="13">
        <f t="shared" si="35"/>
        <v>1.278792448393884E-2</v>
      </c>
      <c r="O37" s="13">
        <f t="shared" si="35"/>
        <v>1.4903550881017802E-2</v>
      </c>
      <c r="P37" s="13">
        <f t="shared" si="35"/>
        <v>3.0277764178236355E-2</v>
      </c>
      <c r="Q37" s="13"/>
      <c r="R37" s="22">
        <f t="shared" si="36"/>
        <v>1.0351541569930678E-3</v>
      </c>
      <c r="S37" s="22">
        <f t="shared" si="37"/>
        <v>-4.7247265087835277E-3</v>
      </c>
      <c r="T37" s="22">
        <f t="shared" si="38"/>
        <v>-5.6702775001747918E-3</v>
      </c>
      <c r="U37" s="22">
        <f t="shared" si="39"/>
        <v>-1.4754343885352572E-3</v>
      </c>
      <c r="V37" s="22">
        <f t="shared" si="40"/>
        <v>-7.2129389016239998E-3</v>
      </c>
      <c r="W37" s="22">
        <f t="shared" si="41"/>
        <v>-6.2790886029313597E-3</v>
      </c>
    </row>
    <row r="38" spans="2:23" s="6" customFormat="1" outlineLevel="1" x14ac:dyDescent="0.15">
      <c r="B38" s="11">
        <v>2028</v>
      </c>
      <c r="C38" s="13">
        <f t="shared" si="42"/>
        <v>2.5456595496978096E-2</v>
      </c>
      <c r="D38" s="13">
        <f t="shared" si="42"/>
        <v>1.6187900044898562E-2</v>
      </c>
      <c r="E38" s="13">
        <f t="shared" si="42"/>
        <v>-9.0386033819279676E-3</v>
      </c>
      <c r="F38" s="13">
        <f t="shared" si="42"/>
        <v>1.662020200474168E-2</v>
      </c>
      <c r="G38" s="13">
        <f t="shared" si="42"/>
        <v>7.4313752087651341E-3</v>
      </c>
      <c r="H38" s="13">
        <f t="shared" si="42"/>
        <v>3.3077148218419117E-2</v>
      </c>
      <c r="J38" s="11">
        <v>2028</v>
      </c>
      <c r="K38" s="13">
        <f t="shared" si="35"/>
        <v>1.3167907778996124E-2</v>
      </c>
      <c r="L38" s="13">
        <f t="shared" si="35"/>
        <v>1.7866200027056856E-2</v>
      </c>
      <c r="M38" s="13">
        <f t="shared" si="35"/>
        <v>4.6372296358656584E-3</v>
      </c>
      <c r="N38" s="13">
        <f t="shared" si="35"/>
        <v>1.6821940937753244E-2</v>
      </c>
      <c r="O38" s="13">
        <f t="shared" si="35"/>
        <v>2.1537177776667971E-2</v>
      </c>
      <c r="P38" s="13">
        <f t="shared" si="35"/>
        <v>3.498868512644715E-2</v>
      </c>
      <c r="Q38" s="13"/>
      <c r="R38" s="22">
        <f t="shared" si="36"/>
        <v>1.2288687717981972E-2</v>
      </c>
      <c r="S38" s="22">
        <f t="shared" si="37"/>
        <v>-1.6782999821582933E-3</v>
      </c>
      <c r="T38" s="22">
        <f t="shared" si="38"/>
        <v>-1.3675833017793626E-2</v>
      </c>
      <c r="U38" s="22">
        <f t="shared" si="39"/>
        <v>-2.0173893301156376E-4</v>
      </c>
      <c r="V38" s="22">
        <f t="shared" si="40"/>
        <v>-1.4105802567902836E-2</v>
      </c>
      <c r="W38" s="22">
        <f t="shared" si="41"/>
        <v>-1.9115369080280331E-3</v>
      </c>
    </row>
    <row r="39" spans="2:23" s="6" customFormat="1" outlineLevel="1" x14ac:dyDescent="0.15">
      <c r="B39" s="11">
        <v>2029</v>
      </c>
      <c r="C39" s="13">
        <f t="shared" si="42"/>
        <v>1.1208130869308386E-2</v>
      </c>
      <c r="D39" s="13">
        <f t="shared" si="42"/>
        <v>1.6486813940330913E-2</v>
      </c>
      <c r="E39" s="13">
        <f t="shared" si="42"/>
        <v>5.2201746701587837E-3</v>
      </c>
      <c r="F39" s="13">
        <f t="shared" si="42"/>
        <v>1.6691096634352753E-2</v>
      </c>
      <c r="G39" s="13">
        <f t="shared" si="42"/>
        <v>2.1998401744379725E-2</v>
      </c>
      <c r="H39" s="13">
        <f t="shared" si="42"/>
        <v>3.3453093579354443E-2</v>
      </c>
      <c r="J39" s="11">
        <v>2029</v>
      </c>
      <c r="K39" s="13">
        <f t="shared" si="35"/>
        <v>1.122247539487331E-2</v>
      </c>
      <c r="L39" s="13">
        <f t="shared" si="35"/>
        <v>1.6133022925162388E-2</v>
      </c>
      <c r="M39" s="13">
        <f t="shared" si="35"/>
        <v>4.8560506216712707E-3</v>
      </c>
      <c r="N39" s="13">
        <f t="shared" si="35"/>
        <v>1.731021114676512E-2</v>
      </c>
      <c r="O39" s="13">
        <f t="shared" si="35"/>
        <v>2.2250321030036657E-2</v>
      </c>
      <c r="P39" s="13">
        <f t="shared" si="35"/>
        <v>3.3722500105197728E-2</v>
      </c>
      <c r="Q39" s="13"/>
      <c r="R39" s="22">
        <f t="shared" ref="R39" si="43">C39-K39</f>
        <v>-1.4344525564924382E-5</v>
      </c>
      <c r="S39" s="22">
        <f t="shared" ref="S39" si="44">D39-L39</f>
        <v>3.5379101516852529E-4</v>
      </c>
      <c r="T39" s="22">
        <f t="shared" ref="T39" si="45">E39-M39</f>
        <v>3.6412404848751301E-4</v>
      </c>
      <c r="U39" s="22">
        <f t="shared" ref="U39" si="46">F39-N39</f>
        <v>-6.1911451241236648E-4</v>
      </c>
      <c r="V39" s="22">
        <f t="shared" ref="V39" si="47">G39-O39</f>
        <v>-2.5191928565693189E-4</v>
      </c>
      <c r="W39" s="22">
        <f t="shared" ref="W39" si="48">H39-P39</f>
        <v>-2.6940652584328539E-4</v>
      </c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41</v>
      </c>
    </row>
    <row r="42" spans="2:23" x14ac:dyDescent="0.15">
      <c r="B42" s="1" t="s">
        <v>27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63D3-90E0-485E-A62A-4255C2FD9430}">
  <dimension ref="B1:W50"/>
  <sheetViews>
    <sheetView zoomScale="150" zoomScaleNormal="150" workbookViewId="0">
      <selection activeCell="K82" sqref="K82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28</v>
      </c>
    </row>
    <row r="2" spans="2:23" s="6" customFormat="1" ht="11.5" customHeight="1" x14ac:dyDescent="0.15">
      <c r="K2" s="28" t="s">
        <v>19</v>
      </c>
      <c r="L2" s="28"/>
      <c r="M2" s="28"/>
      <c r="N2" s="28"/>
      <c r="O2" s="28"/>
      <c r="P2" s="28"/>
      <c r="Q2" s="29"/>
      <c r="R2" s="28" t="s">
        <v>26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24</v>
      </c>
      <c r="D3" s="8" t="s">
        <v>25</v>
      </c>
      <c r="E3" s="8" t="s">
        <v>17</v>
      </c>
      <c r="F3" s="8" t="s">
        <v>20</v>
      </c>
      <c r="G3" s="8" t="s">
        <v>21</v>
      </c>
      <c r="H3" s="8" t="s">
        <v>18</v>
      </c>
      <c r="K3" s="8" t="s">
        <v>24</v>
      </c>
      <c r="L3" s="8" t="s">
        <v>25</v>
      </c>
      <c r="M3" s="8" t="s">
        <v>17</v>
      </c>
      <c r="N3" s="8" t="s">
        <v>20</v>
      </c>
      <c r="O3" s="8" t="s">
        <v>21</v>
      </c>
      <c r="P3" s="8" t="s">
        <v>18</v>
      </c>
      <c r="Q3" s="18"/>
      <c r="R3" s="8" t="s">
        <v>24</v>
      </c>
      <c r="S3" s="8" t="s">
        <v>25</v>
      </c>
      <c r="T3" s="8" t="s">
        <v>17</v>
      </c>
      <c r="U3" s="8" t="s">
        <v>20</v>
      </c>
      <c r="V3" s="8" t="s">
        <v>21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38643.697007457733</v>
      </c>
      <c r="D5" s="12">
        <v>25285.168098800143</v>
      </c>
      <c r="E5" s="13">
        <f t="shared" ref="E5" si="0">D5/C5</f>
        <v>0.65431545263178192</v>
      </c>
      <c r="F5" s="14">
        <v>0</v>
      </c>
      <c r="G5" s="14">
        <f t="shared" ref="G5" si="1">(H5/365)/C5</f>
        <v>0</v>
      </c>
      <c r="H5" s="15">
        <f t="shared" ref="H5" si="2">D5*F5*365</f>
        <v>0</v>
      </c>
      <c r="J5" s="5"/>
      <c r="K5" s="12">
        <v>38643.697007457733</v>
      </c>
      <c r="L5" s="12">
        <v>25285.168098800143</v>
      </c>
      <c r="M5" s="23">
        <v>0.65431545263178192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38752.299402645927</v>
      </c>
      <c r="D6" s="12">
        <v>27044.908497251232</v>
      </c>
      <c r="E6" s="13">
        <f t="shared" ref="E6:E9" si="3">D6/C6</f>
        <v>0.69789171001823602</v>
      </c>
      <c r="F6" s="14">
        <v>151.37933315597442</v>
      </c>
      <c r="G6" s="14">
        <f t="shared" ref="G6:G9" si="4">(H6/365)/C6</f>
        <v>105.64638167764323</v>
      </c>
      <c r="H6" s="15">
        <f t="shared" ref="H6:H9" si="5">D6*F6*365</f>
        <v>1494324677.9560568</v>
      </c>
      <c r="J6" s="5"/>
      <c r="K6" s="12">
        <v>38752.299402645927</v>
      </c>
      <c r="L6" s="12">
        <v>27044.908497251232</v>
      </c>
      <c r="M6" s="23">
        <v>0.69789171001823602</v>
      </c>
      <c r="N6" s="14">
        <v>151.37933315597442</v>
      </c>
      <c r="O6" s="14">
        <v>105.64638167764323</v>
      </c>
      <c r="P6" s="15">
        <v>1494324677.9560568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38845.25</v>
      </c>
      <c r="D7" s="12">
        <v>28101.466218637972</v>
      </c>
      <c r="E7" s="13">
        <f t="shared" si="3"/>
        <v>0.72342091294657573</v>
      </c>
      <c r="F7" s="14">
        <v>159.23057665937702</v>
      </c>
      <c r="G7" s="14">
        <f t="shared" si="4"/>
        <v>115.19072913593624</v>
      </c>
      <c r="H7" s="15">
        <f t="shared" si="5"/>
        <v>1633233624.9032204</v>
      </c>
      <c r="J7" s="5"/>
      <c r="K7" s="12">
        <v>38845.25</v>
      </c>
      <c r="L7" s="12">
        <v>28101.466218637972</v>
      </c>
      <c r="M7" s="23">
        <v>0.72342091294657573</v>
      </c>
      <c r="N7" s="14">
        <v>159.23057665937702</v>
      </c>
      <c r="O7" s="14">
        <v>115.19072913593624</v>
      </c>
      <c r="P7" s="15">
        <v>1633233624.9032204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39109.666666666664</v>
      </c>
      <c r="D8" s="12">
        <v>28551.476360086792</v>
      </c>
      <c r="E8" s="13">
        <f t="shared" si="3"/>
        <v>0.73003630032012867</v>
      </c>
      <c r="F8" s="14">
        <v>167.20980794588692</v>
      </c>
      <c r="G8" s="14">
        <f t="shared" si="4"/>
        <v>122.06922957005456</v>
      </c>
      <c r="H8" s="15">
        <f t="shared" si="5"/>
        <v>1742541710.7406998</v>
      </c>
      <c r="J8" s="5"/>
      <c r="K8" s="12">
        <v>39109.666666666664</v>
      </c>
      <c r="L8" s="12">
        <v>28551.476360086792</v>
      </c>
      <c r="M8" s="23">
        <v>0.73003630032012867</v>
      </c>
      <c r="N8" s="14">
        <v>167.20980794588692</v>
      </c>
      <c r="O8" s="14">
        <v>122.06922957005456</v>
      </c>
      <c r="P8" s="15">
        <v>1742541710.7406998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39546.333333333336</v>
      </c>
      <c r="D9" s="12">
        <v>28593.738161406098</v>
      </c>
      <c r="E9" s="13">
        <f t="shared" si="3"/>
        <v>0.72304397781689234</v>
      </c>
      <c r="F9" s="14">
        <v>171.17269134504636</v>
      </c>
      <c r="G9" s="14">
        <f t="shared" si="4"/>
        <v>123.76538364374547</v>
      </c>
      <c r="H9" s="15">
        <f t="shared" si="5"/>
        <v>1786480497.5967555</v>
      </c>
      <c r="J9" s="5"/>
      <c r="K9" s="12">
        <v>39546.333333333336</v>
      </c>
      <c r="L9" s="12">
        <v>28593.738161406098</v>
      </c>
      <c r="M9" s="23">
        <v>0.72304397781689234</v>
      </c>
      <c r="N9" s="14">
        <v>171.17269134504636</v>
      </c>
      <c r="O9" s="14">
        <v>123.76538364374547</v>
      </c>
      <c r="P9" s="15">
        <v>1786480497.5967555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40065</v>
      </c>
      <c r="D10" s="12">
        <v>28886.57724014335</v>
      </c>
      <c r="E10" s="13">
        <f>D10/C10</f>
        <v>0.72099281767486212</v>
      </c>
      <c r="F10" s="14">
        <v>178.537633556467</v>
      </c>
      <c r="G10" s="14">
        <f>(H10/365)/C10</f>
        <v>128.72435147887916</v>
      </c>
      <c r="H10" s="15">
        <f>D10*F10*365</f>
        <v>1882429516.8304722</v>
      </c>
      <c r="J10" s="5"/>
      <c r="K10" s="12">
        <v>40065</v>
      </c>
      <c r="L10" s="12">
        <v>28886.57724014335</v>
      </c>
      <c r="M10" s="23">
        <v>0.72099281767486212</v>
      </c>
      <c r="N10" s="14">
        <v>178.537633556467</v>
      </c>
      <c r="O10" s="14">
        <v>128.72435147887916</v>
      </c>
      <c r="P10" s="15">
        <v>1882429516.8304722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41585.5</v>
      </c>
      <c r="D11" s="12">
        <v>29638.34085075001</v>
      </c>
      <c r="E11" s="13">
        <f t="shared" ref="E11:E15" si="6">D11/C11</f>
        <v>0.71270853664738931</v>
      </c>
      <c r="F11" s="14">
        <v>178.69412809663342</v>
      </c>
      <c r="G11" s="14">
        <f t="shared" ref="G11:G15" si="7">(H11/365)/C11</f>
        <v>127.35683054323275</v>
      </c>
      <c r="H11" s="15">
        <f t="shared" ref="H11:H15" si="8">D11*F11*365</f>
        <v>1933112078.942796</v>
      </c>
      <c r="J11" s="11">
        <v>2019</v>
      </c>
      <c r="K11" s="12">
        <v>41585.5</v>
      </c>
      <c r="L11" s="12">
        <v>29638.34085075001</v>
      </c>
      <c r="M11" s="23">
        <v>0.71270853664738931</v>
      </c>
      <c r="N11" s="14">
        <v>178.69412809663342</v>
      </c>
      <c r="O11" s="14">
        <v>127.35683054323275</v>
      </c>
      <c r="P11" s="15">
        <v>1933112078.942796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41817.833333333336</v>
      </c>
      <c r="D12" s="12">
        <v>20579.835509749999</v>
      </c>
      <c r="E12" s="13">
        <f t="shared" si="6"/>
        <v>0.49213060240846207</v>
      </c>
      <c r="F12" s="14">
        <v>163.79315179099748</v>
      </c>
      <c r="G12" s="14">
        <f t="shared" si="7"/>
        <v>80.607622461284251</v>
      </c>
      <c r="H12" s="15">
        <f t="shared" si="8"/>
        <v>1230355184.3410182</v>
      </c>
      <c r="J12" s="11">
        <v>2020</v>
      </c>
      <c r="K12" s="12">
        <v>41817.833333333336</v>
      </c>
      <c r="L12" s="12">
        <v>20579.835509749999</v>
      </c>
      <c r="M12" s="23">
        <v>0.49213060240846207</v>
      </c>
      <c r="N12" s="14">
        <v>163.79315179099748</v>
      </c>
      <c r="O12" s="14">
        <v>80.607622461284251</v>
      </c>
      <c r="P12" s="15">
        <v>1230355184.3410182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42338.25</v>
      </c>
      <c r="D13" s="12">
        <v>27288.445735992809</v>
      </c>
      <c r="E13" s="13">
        <f t="shared" si="6"/>
        <v>0.64453409708697951</v>
      </c>
      <c r="F13" s="14">
        <v>217.83954222638255</v>
      </c>
      <c r="G13" s="14">
        <f t="shared" si="7"/>
        <v>140.4050126587224</v>
      </c>
      <c r="H13" s="15">
        <f t="shared" si="8"/>
        <v>2169743422.4273262</v>
      </c>
      <c r="J13" s="11">
        <v>2021</v>
      </c>
      <c r="K13" s="12">
        <v>42338.25</v>
      </c>
      <c r="L13" s="12">
        <v>27288.445735992809</v>
      </c>
      <c r="M13" s="23">
        <v>0.64453409708697951</v>
      </c>
      <c r="N13" s="14">
        <v>217.83954222638255</v>
      </c>
      <c r="O13" s="14">
        <v>140.4050126587224</v>
      </c>
      <c r="P13" s="15">
        <v>2169743422.4273262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42556.583333333336</v>
      </c>
      <c r="D14" s="12">
        <v>29334.691999487943</v>
      </c>
      <c r="E14" s="13">
        <f t="shared" si="6"/>
        <v>0.68931031821135247</v>
      </c>
      <c r="F14" s="14">
        <v>231.0442038351741</v>
      </c>
      <c r="G14" s="14">
        <f t="shared" si="7"/>
        <v>159.26115366651246</v>
      </c>
      <c r="H14" s="15">
        <f t="shared" si="8"/>
        <v>2473827853.5866861</v>
      </c>
      <c r="J14" s="11">
        <v>2022</v>
      </c>
      <c r="K14" s="12">
        <v>42556.583333333336</v>
      </c>
      <c r="L14" s="12">
        <v>29334.691999487943</v>
      </c>
      <c r="M14" s="23">
        <v>0.68931031821135247</v>
      </c>
      <c r="N14" s="14">
        <v>231.0442038351741</v>
      </c>
      <c r="O14" s="14">
        <v>159.26115366651246</v>
      </c>
      <c r="P14" s="15">
        <v>2473827853.5866861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42844.12634408602</v>
      </c>
      <c r="D15" s="12">
        <v>28532.372509405544</v>
      </c>
      <c r="E15" s="13">
        <f t="shared" si="6"/>
        <v>0.66595762229480038</v>
      </c>
      <c r="F15" s="14">
        <v>222.20431544718343</v>
      </c>
      <c r="G15" s="14">
        <f t="shared" si="7"/>
        <v>147.97865757885003</v>
      </c>
      <c r="H15" s="15">
        <f t="shared" si="8"/>
        <v>2314105950.0608201</v>
      </c>
      <c r="J15" s="11">
        <v>2023</v>
      </c>
      <c r="K15" s="12">
        <v>42844.12634408602</v>
      </c>
      <c r="L15" s="12">
        <v>28532.372509405544</v>
      </c>
      <c r="M15" s="23">
        <v>0.66595762229480038</v>
      </c>
      <c r="N15" s="14">
        <v>222.20431544718343</v>
      </c>
      <c r="O15" s="14">
        <v>147.97865757885003</v>
      </c>
      <c r="P15" s="15">
        <v>2314105950.0608201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43056.833333333336</v>
      </c>
      <c r="D16" s="12">
        <v>28777.815239375323</v>
      </c>
      <c r="E16" s="13">
        <f t="shared" ref="E16" si="9">D16/C16</f>
        <v>0.66836813140868823</v>
      </c>
      <c r="F16" s="14">
        <v>225.54800428864669</v>
      </c>
      <c r="G16" s="14">
        <f t="shared" ref="G16" si="10">(H16/365)/C16</f>
        <v>150.74909816936159</v>
      </c>
      <c r="H16" s="15">
        <f t="shared" ref="H16" si="11">D16*F16*365</f>
        <v>2369134260.1854053</v>
      </c>
      <c r="J16" s="11">
        <v>2024</v>
      </c>
      <c r="K16" s="12">
        <v>43056.833333333336</v>
      </c>
      <c r="L16" s="12">
        <v>28777.815239375323</v>
      </c>
      <c r="M16" s="23">
        <v>0.66836813140868823</v>
      </c>
      <c r="N16" s="14">
        <v>225.54800428864669</v>
      </c>
      <c r="O16" s="14">
        <v>150.74909816936159</v>
      </c>
      <c r="P16" s="15">
        <v>2369134260.1854053</v>
      </c>
      <c r="Q16" s="12"/>
      <c r="R16" s="25"/>
      <c r="S16" s="25"/>
      <c r="T16" s="24"/>
      <c r="U16" s="26"/>
      <c r="V16" s="26"/>
      <c r="W16" s="27"/>
    </row>
    <row r="17" spans="2:23" s="6" customFormat="1" ht="10.25" customHeight="1" outlineLevel="1" x14ac:dyDescent="0.15">
      <c r="B17" s="11">
        <v>2025</v>
      </c>
      <c r="C17" s="12">
        <v>43410</v>
      </c>
      <c r="D17" s="12">
        <v>29172.896226141958</v>
      </c>
      <c r="E17" s="13">
        <f t="shared" ref="E17" si="12">D17/C17</f>
        <v>0.67203170297493564</v>
      </c>
      <c r="F17" s="14">
        <v>227.26672038077592</v>
      </c>
      <c r="G17" s="14">
        <f t="shared" ref="G17" si="13">(H17/365)/C17</f>
        <v>152.73044112702138</v>
      </c>
      <c r="H17" s="15">
        <f t="shared" ref="H17" si="14">D17*F17*365</f>
        <v>2419960384.0032592</v>
      </c>
      <c r="J17" s="11">
        <v>2025</v>
      </c>
      <c r="K17" s="12">
        <v>43410</v>
      </c>
      <c r="L17" s="12">
        <v>29172.896226141958</v>
      </c>
      <c r="M17" s="23">
        <v>0.67203170297493564</v>
      </c>
      <c r="N17" s="14">
        <v>227.26672038077592</v>
      </c>
      <c r="O17" s="14">
        <v>152.73044112702138</v>
      </c>
      <c r="P17" s="15">
        <v>2419960384.0032592</v>
      </c>
      <c r="Q17" s="12"/>
      <c r="R17" s="25">
        <f t="shared" ref="R17:W20" si="15">C17-K17</f>
        <v>0</v>
      </c>
      <c r="S17" s="25">
        <f t="shared" si="15"/>
        <v>0</v>
      </c>
      <c r="T17" s="24">
        <f t="shared" si="15"/>
        <v>0</v>
      </c>
      <c r="U17" s="26">
        <f t="shared" si="15"/>
        <v>0</v>
      </c>
      <c r="V17" s="26">
        <f t="shared" si="15"/>
        <v>0</v>
      </c>
      <c r="W17" s="27">
        <f t="shared" si="15"/>
        <v>0</v>
      </c>
    </row>
    <row r="18" spans="2:23" s="6" customFormat="1" outlineLevel="1" x14ac:dyDescent="0.15">
      <c r="B18" s="11">
        <v>2026</v>
      </c>
      <c r="C18" s="12">
        <v>44044.625</v>
      </c>
      <c r="D18" s="12">
        <v>30020.422540370873</v>
      </c>
      <c r="E18" s="13">
        <f t="shared" ref="E18" si="16">D18/C18</f>
        <v>0.68159105771409956</v>
      </c>
      <c r="F18" s="14">
        <v>233.75098211519898</v>
      </c>
      <c r="G18" s="14">
        <f t="shared" ref="G18" si="17">(H18/365)/C18</f>
        <v>159.32257914160803</v>
      </c>
      <c r="H18" s="15">
        <f t="shared" ref="H18" si="18">D18*F18*365</f>
        <v>2561315687.0986061</v>
      </c>
      <c r="J18" s="11">
        <v>2026</v>
      </c>
      <c r="K18" s="12">
        <v>44662.583333333336</v>
      </c>
      <c r="L18" s="12">
        <v>29529.725241617271</v>
      </c>
      <c r="M18" s="23">
        <v>0.66117369479561983</v>
      </c>
      <c r="N18" s="14">
        <v>229.66312252939318</v>
      </c>
      <c r="O18" s="14">
        <v>151.847215281058</v>
      </c>
      <c r="P18" s="15">
        <v>2475389450.8450742</v>
      </c>
      <c r="Q18" s="12"/>
      <c r="R18" s="25">
        <f t="shared" si="15"/>
        <v>-617.95833333333576</v>
      </c>
      <c r="S18" s="25">
        <f t="shared" si="15"/>
        <v>490.69729875360281</v>
      </c>
      <c r="T18" s="24">
        <f t="shared" si="15"/>
        <v>2.0417362918479731E-2</v>
      </c>
      <c r="U18" s="26">
        <f t="shared" si="15"/>
        <v>4.087859585805802</v>
      </c>
      <c r="V18" s="26">
        <f t="shared" si="15"/>
        <v>7.4753638605500328</v>
      </c>
      <c r="W18" s="27">
        <f t="shared" si="15"/>
        <v>85926236.253531933</v>
      </c>
    </row>
    <row r="19" spans="2:23" s="6" customFormat="1" outlineLevel="1" x14ac:dyDescent="0.15">
      <c r="B19" s="11">
        <v>2027</v>
      </c>
      <c r="C19" s="12">
        <v>44631.941666666673</v>
      </c>
      <c r="D19" s="12">
        <v>30369.883902983591</v>
      </c>
      <c r="E19" s="13">
        <f t="shared" ref="E19:E20" si="19">D19/C19</f>
        <v>0.68045177442202365</v>
      </c>
      <c r="F19" s="14">
        <v>236.42897029688544</v>
      </c>
      <c r="G19" s="14">
        <f t="shared" ref="G19:G20" si="20">(H19/365)/C19</f>
        <v>160.87851236328763</v>
      </c>
      <c r="H19" s="15">
        <f t="shared" ref="H19:H20" si="21">D19*F19*365</f>
        <v>2620816938.4147038</v>
      </c>
      <c r="J19" s="11">
        <v>2027</v>
      </c>
      <c r="K19" s="12">
        <v>45195.549999999996</v>
      </c>
      <c r="L19" s="12">
        <v>30053.99740912483</v>
      </c>
      <c r="M19" s="23">
        <v>0.66497691496452271</v>
      </c>
      <c r="N19" s="14">
        <v>232.61267562887772</v>
      </c>
      <c r="O19" s="14">
        <v>154.68205942133432</v>
      </c>
      <c r="P19" s="15">
        <v>2551693373.9981585</v>
      </c>
      <c r="Q19" s="12"/>
      <c r="R19" s="25">
        <f t="shared" si="15"/>
        <v>-563.60833333332266</v>
      </c>
      <c r="S19" s="25">
        <f t="shared" si="15"/>
        <v>315.88649385876124</v>
      </c>
      <c r="T19" s="24">
        <f t="shared" si="15"/>
        <v>1.5474859457500934E-2</v>
      </c>
      <c r="U19" s="26">
        <f t="shared" si="15"/>
        <v>3.8162946680077141</v>
      </c>
      <c r="V19" s="26">
        <f t="shared" si="15"/>
        <v>6.1964529419533108</v>
      </c>
      <c r="W19" s="27">
        <f t="shared" si="15"/>
        <v>69123564.416545391</v>
      </c>
    </row>
    <row r="20" spans="2:23" s="6" customFormat="1" outlineLevel="1" x14ac:dyDescent="0.15">
      <c r="B20" s="11">
        <v>2028</v>
      </c>
      <c r="C20" s="12">
        <v>45379.166666666664</v>
      </c>
      <c r="D20" s="12">
        <v>30826.423986850081</v>
      </c>
      <c r="E20" s="13">
        <f t="shared" si="19"/>
        <v>0.67930784655624088</v>
      </c>
      <c r="F20" s="14">
        <v>240.47659542981856</v>
      </c>
      <c r="G20" s="14">
        <f t="shared" si="20"/>
        <v>163.35763818860644</v>
      </c>
      <c r="H20" s="15">
        <f t="shared" si="21"/>
        <v>2705757223.7163377</v>
      </c>
      <c r="J20" s="11">
        <v>2028</v>
      </c>
      <c r="K20" s="12">
        <v>45615.27096532235</v>
      </c>
      <c r="L20" s="12">
        <v>30603.426877595764</v>
      </c>
      <c r="M20" s="23">
        <v>0.67090310393773844</v>
      </c>
      <c r="N20" s="14">
        <v>236.68138053310639</v>
      </c>
      <c r="O20" s="14">
        <v>158.79027284393013</v>
      </c>
      <c r="P20" s="15">
        <v>2643790382.688169</v>
      </c>
      <c r="Q20" s="12"/>
      <c r="R20" s="25">
        <f t="shared" si="15"/>
        <v>-236.10429865568585</v>
      </c>
      <c r="S20" s="25">
        <f t="shared" si="15"/>
        <v>222.99710925431646</v>
      </c>
      <c r="T20" s="24">
        <f t="shared" si="15"/>
        <v>8.4047426185024365E-3</v>
      </c>
      <c r="U20" s="26">
        <f t="shared" si="15"/>
        <v>3.7952148967121673</v>
      </c>
      <c r="V20" s="26">
        <f t="shared" si="15"/>
        <v>4.5673653446763183</v>
      </c>
      <c r="W20" s="27">
        <f t="shared" si="15"/>
        <v>61966841.028168678</v>
      </c>
    </row>
    <row r="21" spans="2:23" s="6" customFormat="1" outlineLevel="1" x14ac:dyDescent="0.15">
      <c r="B21" s="11">
        <v>2029</v>
      </c>
      <c r="C21" s="12">
        <v>45680.501226253022</v>
      </c>
      <c r="D21" s="12">
        <v>31328.999790947892</v>
      </c>
      <c r="E21" s="13">
        <f t="shared" ref="E21" si="22">D21/C21</f>
        <v>0.68582872232020986</v>
      </c>
      <c r="F21" s="14">
        <v>244.66044517083196</v>
      </c>
      <c r="G21" s="14">
        <f t="shared" ref="G21" si="23">(H21/365)/C21</f>
        <v>167.79516051380546</v>
      </c>
      <c r="H21" s="15">
        <f t="shared" ref="H21" si="24">D21*F21*365</f>
        <v>2797712967.9977279</v>
      </c>
      <c r="J21" s="11">
        <v>2029</v>
      </c>
      <c r="K21" s="12">
        <v>45918.17334534433</v>
      </c>
      <c r="L21" s="12">
        <v>31096.122709894033</v>
      </c>
      <c r="M21" s="23">
        <v>0.67720731127574108</v>
      </c>
      <c r="N21" s="14">
        <v>240.90317626707241</v>
      </c>
      <c r="O21" s="14">
        <v>163.14139227761001</v>
      </c>
      <c r="P21" s="15">
        <v>2734271476.5975022</v>
      </c>
      <c r="Q21" s="12"/>
      <c r="R21" s="25">
        <f t="shared" ref="R21" si="25">C21-K21</f>
        <v>-237.67211909130856</v>
      </c>
      <c r="S21" s="25">
        <f t="shared" ref="S21" si="26">D21-L21</f>
        <v>232.877081053859</v>
      </c>
      <c r="T21" s="24">
        <f t="shared" ref="T21" si="27">E21-M21</f>
        <v>8.6214110444687853E-3</v>
      </c>
      <c r="U21" s="26">
        <f t="shared" ref="U21" si="28">F21-N21</f>
        <v>3.7572689037595524</v>
      </c>
      <c r="V21" s="26">
        <f t="shared" ref="V21" si="29">G21-O21</f>
        <v>4.6537682361954467</v>
      </c>
      <c r="W21" s="27">
        <f t="shared" ref="W21" si="30">H21-P21</f>
        <v>63441491.400225639</v>
      </c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f t="shared" ref="C24:H33" si="31">C6/C5-1</f>
        <v>2.8103521039208879E-3</v>
      </c>
      <c r="D24" s="13">
        <f t="shared" si="31"/>
        <v>6.9595756357047733E-2</v>
      </c>
      <c r="E24" s="13">
        <f t="shared" si="31"/>
        <v>6.6598239749928068E-2</v>
      </c>
      <c r="F24" s="13" t="e">
        <f t="shared" si="31"/>
        <v>#DIV/0!</v>
      </c>
      <c r="G24" s="13" t="e">
        <f t="shared" si="31"/>
        <v>#DIV/0!</v>
      </c>
      <c r="H24" s="13" t="e">
        <f t="shared" si="31"/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f t="shared" si="31"/>
        <v>2.3985827624908307E-3</v>
      </c>
      <c r="D25" s="13">
        <f t="shared" si="31"/>
        <v>3.906678854151524E-2</v>
      </c>
      <c r="E25" s="13">
        <f t="shared" si="31"/>
        <v>3.6580464507412813E-2</v>
      </c>
      <c r="F25" s="13">
        <f t="shared" si="31"/>
        <v>5.1864698699082279E-2</v>
      </c>
      <c r="G25" s="13">
        <f t="shared" si="31"/>
        <v>9.0342397976444611E-2</v>
      </c>
      <c r="H25" s="13">
        <f t="shared" si="31"/>
        <v>9.2957674457443629E-2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f t="shared" si="31"/>
        <v>6.8069240554935462E-3</v>
      </c>
      <c r="D26" s="13">
        <f t="shared" si="31"/>
        <v>1.6013760205521033E-2</v>
      </c>
      <c r="E26" s="13">
        <f t="shared" si="31"/>
        <v>9.1445896229453982E-3</v>
      </c>
      <c r="F26" s="13">
        <f t="shared" si="31"/>
        <v>5.0111174963455074E-2</v>
      </c>
      <c r="G26" s="13">
        <f t="shared" si="31"/>
        <v>5.9714010716965138E-2</v>
      </c>
      <c r="H26" s="13">
        <f t="shared" si="31"/>
        <v>6.6927403508457939E-2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f t="shared" si="31"/>
        <v>1.116518507785802E-2</v>
      </c>
      <c r="D27" s="13">
        <f t="shared" si="31"/>
        <v>1.4801967080899647E-3</v>
      </c>
      <c r="E27" s="13">
        <f t="shared" si="31"/>
        <v>-9.5780476945737103E-3</v>
      </c>
      <c r="F27" s="13">
        <f t="shared" si="31"/>
        <v>2.3700065491624178E-2</v>
      </c>
      <c r="G27" s="13">
        <f t="shared" si="31"/>
        <v>1.3895017439407242E-2</v>
      </c>
      <c r="H27" s="13">
        <f t="shared" si="31"/>
        <v>2.5215342958636366E-2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f t="shared" si="31"/>
        <v>1.3115417358541492E-2</v>
      </c>
      <c r="D28" s="13">
        <f t="shared" si="31"/>
        <v>1.0241370928286253E-2</v>
      </c>
      <c r="E28" s="13">
        <f t="shared" si="31"/>
        <v>-2.8368400885149248E-3</v>
      </c>
      <c r="F28" s="13">
        <f t="shared" si="31"/>
        <v>4.3026385538184497E-2</v>
      </c>
      <c r="G28" s="13">
        <f t="shared" si="31"/>
        <v>4.0067486474311131E-2</v>
      </c>
      <c r="H28" s="13">
        <f t="shared" si="31"/>
        <v>5.3708405640470858E-2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f>B11</f>
        <v>2019</v>
      </c>
      <c r="C29" s="13">
        <f t="shared" si="31"/>
        <v>3.7950829901410188E-2</v>
      </c>
      <c r="D29" s="13">
        <f t="shared" si="31"/>
        <v>2.6024668978848142E-2</v>
      </c>
      <c r="E29" s="13">
        <f t="shared" si="31"/>
        <v>-1.1490102015424886E-2</v>
      </c>
      <c r="F29" s="13">
        <f t="shared" si="31"/>
        <v>8.765353110660179E-4</v>
      </c>
      <c r="G29" s="13">
        <f t="shared" si="31"/>
        <v>-1.062363818450307E-2</v>
      </c>
      <c r="H29" s="13">
        <f t="shared" si="31"/>
        <v>2.6924015831232939E-2</v>
      </c>
      <c r="J29" s="11">
        <f>J11</f>
        <v>2019</v>
      </c>
      <c r="K29" s="13">
        <f t="shared" ref="K29:P29" si="32">K11/K10-1</f>
        <v>3.7950829901410188E-2</v>
      </c>
      <c r="L29" s="13">
        <f t="shared" si="32"/>
        <v>2.6024668978848142E-2</v>
      </c>
      <c r="M29" s="13">
        <f t="shared" si="32"/>
        <v>-1.1490102015424886E-2</v>
      </c>
      <c r="N29" s="13">
        <f t="shared" si="32"/>
        <v>8.765353110660179E-4</v>
      </c>
      <c r="O29" s="13">
        <f t="shared" si="32"/>
        <v>-1.062363818450307E-2</v>
      </c>
      <c r="P29" s="13">
        <f t="shared" si="32"/>
        <v>2.6924015831232939E-2</v>
      </c>
      <c r="Q29" s="13"/>
      <c r="R29" s="22">
        <f t="shared" ref="R29:R38" si="33">C29-K29</f>
        <v>0</v>
      </c>
      <c r="S29" s="22">
        <f t="shared" ref="S29:S38" si="34">D29-L29</f>
        <v>0</v>
      </c>
      <c r="T29" s="22">
        <f t="shared" ref="T29:T38" si="35">E29-M29</f>
        <v>0</v>
      </c>
      <c r="U29" s="22">
        <f t="shared" ref="U29:U38" si="36">F29-N29</f>
        <v>0</v>
      </c>
      <c r="V29" s="22">
        <f t="shared" ref="V29:V38" si="37">G29-O29</f>
        <v>0</v>
      </c>
      <c r="W29" s="22">
        <f t="shared" ref="W29:W38" si="38">H29-P29</f>
        <v>0</v>
      </c>
    </row>
    <row r="30" spans="2:23" s="6" customFormat="1" x14ac:dyDescent="0.15">
      <c r="B30" s="11">
        <f>B12</f>
        <v>2020</v>
      </c>
      <c r="C30" s="13">
        <f t="shared" si="31"/>
        <v>5.586883248568375E-3</v>
      </c>
      <c r="D30" s="13">
        <f t="shared" si="31"/>
        <v>-0.30563469752291417</v>
      </c>
      <c r="E30" s="13">
        <f t="shared" si="31"/>
        <v>-0.30949248240597071</v>
      </c>
      <c r="F30" s="13">
        <f t="shared" si="31"/>
        <v>-8.3388169854007987E-2</v>
      </c>
      <c r="G30" s="13">
        <f t="shared" si="31"/>
        <v>-0.36707264056857114</v>
      </c>
      <c r="H30" s="13">
        <f t="shared" si="31"/>
        <v>-0.36353654930660306</v>
      </c>
      <c r="J30" s="11">
        <f>J12</f>
        <v>2020</v>
      </c>
      <c r="K30" s="13">
        <f t="shared" ref="K30:P30" si="39">K12/K11-1</f>
        <v>5.586883248568375E-3</v>
      </c>
      <c r="L30" s="13">
        <f t="shared" si="39"/>
        <v>-0.30563469752291417</v>
      </c>
      <c r="M30" s="13">
        <f t="shared" si="39"/>
        <v>-0.30949248240597071</v>
      </c>
      <c r="N30" s="13">
        <f t="shared" si="39"/>
        <v>-8.3388169854007987E-2</v>
      </c>
      <c r="O30" s="13">
        <f t="shared" si="39"/>
        <v>-0.36707264056857114</v>
      </c>
      <c r="P30" s="13">
        <f t="shared" si="39"/>
        <v>-0.36353654930660306</v>
      </c>
      <c r="Q30" s="13"/>
      <c r="R30" s="22">
        <f t="shared" si="33"/>
        <v>0</v>
      </c>
      <c r="S30" s="22">
        <f t="shared" si="34"/>
        <v>0</v>
      </c>
      <c r="T30" s="22">
        <f t="shared" si="35"/>
        <v>0</v>
      </c>
      <c r="U30" s="22">
        <f t="shared" si="36"/>
        <v>0</v>
      </c>
      <c r="V30" s="22">
        <f t="shared" si="37"/>
        <v>0</v>
      </c>
      <c r="W30" s="22">
        <f t="shared" si="38"/>
        <v>0</v>
      </c>
    </row>
    <row r="31" spans="2:23" s="6" customFormat="1" x14ac:dyDescent="0.15">
      <c r="B31" s="11">
        <f>B13</f>
        <v>2021</v>
      </c>
      <c r="C31" s="13">
        <f t="shared" si="31"/>
        <v>1.244485008389562E-2</v>
      </c>
      <c r="D31" s="13">
        <f t="shared" si="31"/>
        <v>0.32597977875306672</v>
      </c>
      <c r="E31" s="13">
        <f t="shared" si="31"/>
        <v>0.30968099511118097</v>
      </c>
      <c r="F31" s="13">
        <f t="shared" si="31"/>
        <v>0.32996733895412844</v>
      </c>
      <c r="G31" s="13">
        <f t="shared" si="31"/>
        <v>0.74183294794681198</v>
      </c>
      <c r="H31" s="13">
        <f t="shared" si="31"/>
        <v>0.7635097978551999</v>
      </c>
      <c r="J31" s="11">
        <f>J13</f>
        <v>2021</v>
      </c>
      <c r="K31" s="13">
        <f t="shared" ref="K31:P31" si="40">K13/K12-1</f>
        <v>1.244485008389562E-2</v>
      </c>
      <c r="L31" s="13">
        <f t="shared" si="40"/>
        <v>0.32597977875306672</v>
      </c>
      <c r="M31" s="13">
        <f t="shared" si="40"/>
        <v>0.30968099511118097</v>
      </c>
      <c r="N31" s="13">
        <f t="shared" si="40"/>
        <v>0.32996733895412844</v>
      </c>
      <c r="O31" s="13">
        <f t="shared" si="40"/>
        <v>0.74183294794681198</v>
      </c>
      <c r="P31" s="13">
        <f t="shared" si="40"/>
        <v>0.7635097978551999</v>
      </c>
      <c r="Q31" s="13"/>
      <c r="R31" s="22">
        <f t="shared" si="33"/>
        <v>0</v>
      </c>
      <c r="S31" s="22">
        <f t="shared" si="34"/>
        <v>0</v>
      </c>
      <c r="T31" s="22">
        <f t="shared" si="35"/>
        <v>0</v>
      </c>
      <c r="U31" s="22">
        <f t="shared" si="36"/>
        <v>0</v>
      </c>
      <c r="V31" s="22">
        <f t="shared" si="37"/>
        <v>0</v>
      </c>
      <c r="W31" s="22">
        <f t="shared" si="38"/>
        <v>0</v>
      </c>
    </row>
    <row r="32" spans="2:23" s="6" customFormat="1" outlineLevel="1" x14ac:dyDescent="0.15">
      <c r="B32" s="11">
        <f>B14</f>
        <v>2022</v>
      </c>
      <c r="C32" s="13">
        <f t="shared" si="31"/>
        <v>5.1568813858233753E-3</v>
      </c>
      <c r="D32" s="13">
        <f t="shared" si="31"/>
        <v>7.4985812064634505E-2</v>
      </c>
      <c r="E32" s="13">
        <f t="shared" si="31"/>
        <v>6.9470678629326876E-2</v>
      </c>
      <c r="F32" s="13">
        <f t="shared" si="31"/>
        <v>6.0616458673370843E-2</v>
      </c>
      <c r="G32" s="13">
        <f t="shared" si="31"/>
        <v>0.13429820382284374</v>
      </c>
      <c r="H32" s="13">
        <f t="shared" si="31"/>
        <v>0.14014764511611055</v>
      </c>
      <c r="J32" s="11">
        <f>J14</f>
        <v>2022</v>
      </c>
      <c r="K32" s="13">
        <f t="shared" ref="K32:K39" si="41">K14/K13-1</f>
        <v>5.1568813858233753E-3</v>
      </c>
      <c r="L32" s="13">
        <f t="shared" ref="L32:P32" si="42">L14/L13-1</f>
        <v>7.4985812064634505E-2</v>
      </c>
      <c r="M32" s="13">
        <f t="shared" si="42"/>
        <v>6.9470678629326876E-2</v>
      </c>
      <c r="N32" s="13">
        <f t="shared" si="42"/>
        <v>6.0616458673370843E-2</v>
      </c>
      <c r="O32" s="13">
        <f t="shared" si="42"/>
        <v>0.13429820382284374</v>
      </c>
      <c r="P32" s="13">
        <f t="shared" si="42"/>
        <v>0.14014764511611055</v>
      </c>
      <c r="Q32" s="13"/>
      <c r="R32" s="22">
        <f t="shared" si="33"/>
        <v>0</v>
      </c>
      <c r="S32" s="22">
        <f t="shared" si="34"/>
        <v>0</v>
      </c>
      <c r="T32" s="22">
        <f t="shared" si="35"/>
        <v>0</v>
      </c>
      <c r="U32" s="22">
        <f t="shared" si="36"/>
        <v>0</v>
      </c>
      <c r="V32" s="22">
        <f t="shared" si="37"/>
        <v>0</v>
      </c>
      <c r="W32" s="22">
        <f t="shared" si="38"/>
        <v>0</v>
      </c>
    </row>
    <row r="33" spans="2:23" s="6" customFormat="1" outlineLevel="1" x14ac:dyDescent="0.15">
      <c r="B33" s="11">
        <v>2023</v>
      </c>
      <c r="C33" s="13">
        <f t="shared" si="31"/>
        <v>6.7567221856239534E-3</v>
      </c>
      <c r="D33" s="13">
        <f t="shared" si="31"/>
        <v>-2.7350533971735702E-2</v>
      </c>
      <c r="E33" s="13">
        <f t="shared" si="31"/>
        <v>-3.3878349561266563E-2</v>
      </c>
      <c r="F33" s="13">
        <f t="shared" si="31"/>
        <v>-3.8260593606135207E-2</v>
      </c>
      <c r="G33" s="13">
        <f t="shared" si="31"/>
        <v>-7.08427374027919E-2</v>
      </c>
      <c r="H33" s="13">
        <f t="shared" si="31"/>
        <v>-6.4564679912667677E-2</v>
      </c>
      <c r="J33" s="11">
        <v>2023</v>
      </c>
      <c r="K33" s="13">
        <f t="shared" si="41"/>
        <v>6.7567221856239534E-3</v>
      </c>
      <c r="L33" s="13">
        <f t="shared" ref="L33:P39" si="43">L15/L14-1</f>
        <v>-2.7350533971735702E-2</v>
      </c>
      <c r="M33" s="13">
        <f t="shared" si="43"/>
        <v>-3.3878349561266563E-2</v>
      </c>
      <c r="N33" s="13">
        <f t="shared" si="43"/>
        <v>-3.8260593606135207E-2</v>
      </c>
      <c r="O33" s="13">
        <f t="shared" si="43"/>
        <v>-7.08427374027919E-2</v>
      </c>
      <c r="P33" s="13">
        <f t="shared" si="43"/>
        <v>-6.4564679912667677E-2</v>
      </c>
      <c r="Q33" s="13"/>
      <c r="R33" s="22">
        <f t="shared" si="33"/>
        <v>0</v>
      </c>
      <c r="S33" s="22">
        <f t="shared" si="34"/>
        <v>0</v>
      </c>
      <c r="T33" s="22">
        <f t="shared" si="35"/>
        <v>0</v>
      </c>
      <c r="U33" s="22">
        <f t="shared" si="36"/>
        <v>0</v>
      </c>
      <c r="V33" s="22">
        <f t="shared" si="37"/>
        <v>0</v>
      </c>
      <c r="W33" s="22">
        <f t="shared" si="38"/>
        <v>0</v>
      </c>
    </row>
    <row r="34" spans="2:23" s="6" customFormat="1" outlineLevel="1" x14ac:dyDescent="0.15">
      <c r="B34" s="11">
        <v>2024</v>
      </c>
      <c r="C34" s="13">
        <f t="shared" ref="C34:H39" si="44">C16/C15-1</f>
        <v>4.964670945535099E-3</v>
      </c>
      <c r="D34" s="13">
        <f t="shared" si="44"/>
        <v>8.6022545054347255E-3</v>
      </c>
      <c r="E34" s="13">
        <f t="shared" si="44"/>
        <v>3.6196133705648226E-3</v>
      </c>
      <c r="F34" s="13">
        <f t="shared" si="44"/>
        <v>1.5047812346641987E-2</v>
      </c>
      <c r="G34" s="13">
        <f t="shared" si="44"/>
        <v>1.8721892979974619E-2</v>
      </c>
      <c r="H34" s="13">
        <f t="shared" si="44"/>
        <v>2.3779511963632816E-2</v>
      </c>
      <c r="J34" s="11">
        <v>2024</v>
      </c>
      <c r="K34" s="13">
        <f t="shared" si="41"/>
        <v>4.964670945535099E-3</v>
      </c>
      <c r="L34" s="13">
        <f t="shared" si="43"/>
        <v>8.6022545054347255E-3</v>
      </c>
      <c r="M34" s="13">
        <f t="shared" si="43"/>
        <v>3.6196133705648226E-3</v>
      </c>
      <c r="N34" s="13">
        <f t="shared" si="43"/>
        <v>1.5047812346641987E-2</v>
      </c>
      <c r="O34" s="13">
        <f t="shared" si="43"/>
        <v>1.8721892979974619E-2</v>
      </c>
      <c r="P34" s="13">
        <f t="shared" si="43"/>
        <v>2.3779511963632816E-2</v>
      </c>
      <c r="Q34" s="13"/>
      <c r="R34" s="22">
        <f t="shared" si="33"/>
        <v>0</v>
      </c>
      <c r="S34" s="22">
        <f t="shared" si="34"/>
        <v>0</v>
      </c>
      <c r="T34" s="22">
        <f t="shared" si="35"/>
        <v>0</v>
      </c>
      <c r="U34" s="22">
        <f t="shared" si="36"/>
        <v>0</v>
      </c>
      <c r="V34" s="22">
        <f t="shared" si="37"/>
        <v>0</v>
      </c>
      <c r="W34" s="22">
        <f t="shared" si="38"/>
        <v>0</v>
      </c>
    </row>
    <row r="35" spans="2:23" s="6" customFormat="1" outlineLevel="1" x14ac:dyDescent="0.15">
      <c r="B35" s="11">
        <v>2025</v>
      </c>
      <c r="C35" s="13">
        <f t="shared" si="44"/>
        <v>8.2023372209598655E-3</v>
      </c>
      <c r="D35" s="13">
        <f t="shared" si="44"/>
        <v>1.3728665066487178E-2</v>
      </c>
      <c r="E35" s="13">
        <f t="shared" si="44"/>
        <v>5.481367818249927E-3</v>
      </c>
      <c r="F35" s="13">
        <f t="shared" si="44"/>
        <v>7.6201786734928501E-3</v>
      </c>
      <c r="G35" s="13">
        <f t="shared" si="44"/>
        <v>1.3143315493893137E-2</v>
      </c>
      <c r="H35" s="13">
        <f t="shared" si="44"/>
        <v>2.1453458620735333E-2</v>
      </c>
      <c r="J35" s="11">
        <v>2025</v>
      </c>
      <c r="K35" s="13">
        <f t="shared" si="41"/>
        <v>8.2023372209598655E-3</v>
      </c>
      <c r="L35" s="13">
        <f t="shared" si="43"/>
        <v>1.3728665066487178E-2</v>
      </c>
      <c r="M35" s="13">
        <f t="shared" si="43"/>
        <v>5.481367818249927E-3</v>
      </c>
      <c r="N35" s="13">
        <f t="shared" si="43"/>
        <v>7.6201786734928501E-3</v>
      </c>
      <c r="O35" s="13">
        <f t="shared" si="43"/>
        <v>1.3143315493893137E-2</v>
      </c>
      <c r="P35" s="13">
        <f t="shared" si="43"/>
        <v>2.1453458620735333E-2</v>
      </c>
      <c r="Q35" s="13"/>
      <c r="R35" s="22">
        <f t="shared" si="33"/>
        <v>0</v>
      </c>
      <c r="S35" s="22">
        <f t="shared" si="34"/>
        <v>0</v>
      </c>
      <c r="T35" s="22">
        <f t="shared" si="35"/>
        <v>0</v>
      </c>
      <c r="U35" s="22">
        <f t="shared" si="36"/>
        <v>0</v>
      </c>
      <c r="V35" s="22">
        <f t="shared" si="37"/>
        <v>0</v>
      </c>
      <c r="W35" s="22">
        <f t="shared" si="38"/>
        <v>0</v>
      </c>
    </row>
    <row r="36" spans="2:23" s="6" customFormat="1" outlineLevel="1" x14ac:dyDescent="0.15">
      <c r="B36" s="11">
        <v>2026</v>
      </c>
      <c r="C36" s="13">
        <f t="shared" si="44"/>
        <v>1.46193273439299E-2</v>
      </c>
      <c r="D36" s="13">
        <f t="shared" si="44"/>
        <v>2.9051840025038134E-2</v>
      </c>
      <c r="E36" s="13">
        <f t="shared" si="44"/>
        <v>1.4224559193928954E-2</v>
      </c>
      <c r="F36" s="13">
        <f t="shared" si="44"/>
        <v>2.8531505728418782E-2</v>
      </c>
      <c r="G36" s="13">
        <f t="shared" si="44"/>
        <v>4.3161913014473363E-2</v>
      </c>
      <c r="H36" s="13">
        <f t="shared" si="44"/>
        <v>5.8412238493552371E-2</v>
      </c>
      <c r="J36" s="11">
        <v>2026</v>
      </c>
      <c r="K36" s="13">
        <f t="shared" si="41"/>
        <v>2.885471857482913E-2</v>
      </c>
      <c r="L36" s="13">
        <f t="shared" si="43"/>
        <v>1.2231525204396965E-2</v>
      </c>
      <c r="M36" s="13">
        <f t="shared" si="43"/>
        <v>-1.6156988027871022E-2</v>
      </c>
      <c r="N36" s="13">
        <f t="shared" si="43"/>
        <v>1.0544448147103092E-2</v>
      </c>
      <c r="O36" s="13">
        <f t="shared" si="43"/>
        <v>-5.7829064032417499E-3</v>
      </c>
      <c r="P36" s="13">
        <f t="shared" si="43"/>
        <v>2.2904948034777606E-2</v>
      </c>
      <c r="Q36" s="13"/>
      <c r="R36" s="22">
        <f t="shared" si="33"/>
        <v>-1.423539123089923E-2</v>
      </c>
      <c r="S36" s="22">
        <f t="shared" si="34"/>
        <v>1.6820314820641169E-2</v>
      </c>
      <c r="T36" s="22">
        <f t="shared" si="35"/>
        <v>3.0381547221799976E-2</v>
      </c>
      <c r="U36" s="22">
        <f t="shared" si="36"/>
        <v>1.7987057581315691E-2</v>
      </c>
      <c r="V36" s="22">
        <f t="shared" si="37"/>
        <v>4.8944819417715113E-2</v>
      </c>
      <c r="W36" s="22">
        <f t="shared" si="38"/>
        <v>3.5507290458774765E-2</v>
      </c>
    </row>
    <row r="37" spans="2:23" s="6" customFormat="1" outlineLevel="1" x14ac:dyDescent="0.15">
      <c r="B37" s="11">
        <v>2027</v>
      </c>
      <c r="C37" s="13">
        <f t="shared" si="44"/>
        <v>1.3334582066862222E-2</v>
      </c>
      <c r="D37" s="13">
        <f t="shared" si="44"/>
        <v>1.1640787605263325E-2</v>
      </c>
      <c r="E37" s="13">
        <f t="shared" si="44"/>
        <v>-1.6715056325662392E-3</v>
      </c>
      <c r="F37" s="13">
        <f t="shared" si="44"/>
        <v>1.1456585796788987E-2</v>
      </c>
      <c r="G37" s="13">
        <f t="shared" si="44"/>
        <v>9.7659304165333971E-3</v>
      </c>
      <c r="H37" s="13">
        <f t="shared" si="44"/>
        <v>2.3230737083994146E-2</v>
      </c>
      <c r="J37" s="11">
        <v>2027</v>
      </c>
      <c r="K37" s="13">
        <f t="shared" si="41"/>
        <v>1.1933180458661097E-2</v>
      </c>
      <c r="L37" s="13">
        <f t="shared" si="43"/>
        <v>1.7754048275690826E-2</v>
      </c>
      <c r="M37" s="13">
        <f t="shared" si="43"/>
        <v>5.7522254724282629E-3</v>
      </c>
      <c r="N37" s="13">
        <f t="shared" si="43"/>
        <v>1.2842954789605177E-2</v>
      </c>
      <c r="O37" s="13">
        <f t="shared" si="43"/>
        <v>1.8669055833715698E-2</v>
      </c>
      <c r="P37" s="13">
        <f t="shared" si="43"/>
        <v>3.0825017504633401E-2</v>
      </c>
      <c r="Q37" s="13"/>
      <c r="R37" s="22">
        <f t="shared" si="33"/>
        <v>1.4014016082011249E-3</v>
      </c>
      <c r="S37" s="22">
        <f t="shared" si="34"/>
        <v>-6.1132606704275005E-3</v>
      </c>
      <c r="T37" s="22">
        <f t="shared" si="35"/>
        <v>-7.4237311049945021E-3</v>
      </c>
      <c r="U37" s="22">
        <f t="shared" si="36"/>
        <v>-1.3863689928161893E-3</v>
      </c>
      <c r="V37" s="22">
        <f t="shared" si="37"/>
        <v>-8.9031254171823004E-3</v>
      </c>
      <c r="W37" s="22">
        <f t="shared" si="38"/>
        <v>-7.5942804206392545E-3</v>
      </c>
    </row>
    <row r="38" spans="2:23" s="6" customFormat="1" outlineLevel="1" x14ac:dyDescent="0.15">
      <c r="B38" s="11">
        <v>2028</v>
      </c>
      <c r="C38" s="13">
        <f t="shared" si="44"/>
        <v>1.6741933514357044E-2</v>
      </c>
      <c r="D38" s="13">
        <f t="shared" si="44"/>
        <v>1.5032658186145964E-2</v>
      </c>
      <c r="E38" s="13">
        <f t="shared" si="44"/>
        <v>-1.6811299621555253E-3</v>
      </c>
      <c r="F38" s="13">
        <f t="shared" si="44"/>
        <v>1.7119835728466315E-2</v>
      </c>
      <c r="G38" s="13">
        <f t="shared" si="44"/>
        <v>1.5409925097520594E-2</v>
      </c>
      <c r="H38" s="13">
        <f t="shared" si="44"/>
        <v>3.2409850553321462E-2</v>
      </c>
      <c r="J38" s="11">
        <v>2028</v>
      </c>
      <c r="K38" s="13">
        <f t="shared" si="41"/>
        <v>9.2867763601141018E-3</v>
      </c>
      <c r="L38" s="13">
        <f t="shared" si="43"/>
        <v>1.8281410655346608E-2</v>
      </c>
      <c r="M38" s="13">
        <f t="shared" si="43"/>
        <v>8.9118717354750299E-3</v>
      </c>
      <c r="N38" s="13">
        <f t="shared" si="43"/>
        <v>1.7491329280439061E-2</v>
      </c>
      <c r="O38" s="13">
        <f t="shared" si="43"/>
        <v>2.6559081498944703E-2</v>
      </c>
      <c r="P38" s="13">
        <f t="shared" si="43"/>
        <v>3.6092506109269396E-2</v>
      </c>
      <c r="Q38" s="13"/>
      <c r="R38" s="22">
        <f t="shared" si="33"/>
        <v>7.4551571542429418E-3</v>
      </c>
      <c r="S38" s="22">
        <f t="shared" si="34"/>
        <v>-3.2487524692006442E-3</v>
      </c>
      <c r="T38" s="22">
        <f t="shared" si="35"/>
        <v>-1.0593001697630555E-2</v>
      </c>
      <c r="U38" s="22">
        <f t="shared" si="36"/>
        <v>-3.7149355197274581E-4</v>
      </c>
      <c r="V38" s="22">
        <f t="shared" si="37"/>
        <v>-1.114915640142411E-2</v>
      </c>
      <c r="W38" s="22">
        <f t="shared" si="38"/>
        <v>-3.6826555559479335E-3</v>
      </c>
    </row>
    <row r="39" spans="2:23" s="6" customFormat="1" outlineLevel="1" x14ac:dyDescent="0.15">
      <c r="B39" s="11">
        <v>2029</v>
      </c>
      <c r="C39" s="13">
        <f t="shared" si="44"/>
        <v>6.6403722615668848E-3</v>
      </c>
      <c r="D39" s="13">
        <f t="shared" si="44"/>
        <v>1.6303409189213802E-2</v>
      </c>
      <c r="E39" s="13">
        <f t="shared" si="44"/>
        <v>9.5992940417612971E-3</v>
      </c>
      <c r="F39" s="13">
        <f t="shared" si="44"/>
        <v>1.7398157743939047E-2</v>
      </c>
      <c r="G39" s="13">
        <f t="shared" si="44"/>
        <v>2.7164461817669183E-2</v>
      </c>
      <c r="H39" s="13">
        <f t="shared" si="44"/>
        <v>3.3985216217990777E-2</v>
      </c>
      <c r="J39" s="11">
        <v>2029</v>
      </c>
      <c r="K39" s="13">
        <f t="shared" si="41"/>
        <v>6.6403722615668848E-3</v>
      </c>
      <c r="L39" s="13">
        <f t="shared" si="43"/>
        <v>1.6099368030544348E-2</v>
      </c>
      <c r="M39" s="13">
        <f t="shared" si="43"/>
        <v>9.3965988545905432E-3</v>
      </c>
      <c r="N39" s="13">
        <f t="shared" si="43"/>
        <v>1.783746454603552E-2</v>
      </c>
      <c r="O39" s="13">
        <f t="shared" si="43"/>
        <v>2.7401674899547812E-2</v>
      </c>
      <c r="P39" s="13">
        <f t="shared" si="43"/>
        <v>3.4224004483038195E-2</v>
      </c>
      <c r="Q39" s="13"/>
      <c r="R39" s="22">
        <f t="shared" ref="R39" si="45">C39-K39</f>
        <v>0</v>
      </c>
      <c r="S39" s="22">
        <f t="shared" ref="S39" si="46">D39-L39</f>
        <v>2.040411586694546E-4</v>
      </c>
      <c r="T39" s="22">
        <f t="shared" ref="T39" si="47">E39-M39</f>
        <v>2.0269518717075385E-4</v>
      </c>
      <c r="U39" s="22">
        <f t="shared" ref="U39" si="48">F39-N39</f>
        <v>-4.3930680209647299E-4</v>
      </c>
      <c r="V39" s="22">
        <f t="shared" ref="V39" si="49">G39-O39</f>
        <v>-2.3721308187862888E-4</v>
      </c>
      <c r="W39" s="22">
        <f t="shared" ref="W39" si="50">H39-P39</f>
        <v>-2.3878826504741824E-4</v>
      </c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41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9362-ADF7-412A-81C6-D549E559E10C}">
  <dimension ref="B1:W50"/>
  <sheetViews>
    <sheetView zoomScale="150" zoomScaleNormal="150" workbookViewId="0">
      <selection activeCell="T61" sqref="T61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29</v>
      </c>
    </row>
    <row r="2" spans="2:23" s="6" customFormat="1" ht="11.5" customHeight="1" x14ac:dyDescent="0.15">
      <c r="K2" s="28" t="s">
        <v>19</v>
      </c>
      <c r="L2" s="28"/>
      <c r="M2" s="28"/>
      <c r="N2" s="28"/>
      <c r="O2" s="28"/>
      <c r="P2" s="28"/>
      <c r="Q2" s="29"/>
      <c r="R2" s="28" t="s">
        <v>26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24</v>
      </c>
      <c r="D3" s="8" t="s">
        <v>25</v>
      </c>
      <c r="E3" s="8" t="s">
        <v>17</v>
      </c>
      <c r="F3" s="8" t="s">
        <v>20</v>
      </c>
      <c r="G3" s="8" t="s">
        <v>21</v>
      </c>
      <c r="H3" s="8" t="s">
        <v>18</v>
      </c>
      <c r="K3" s="8" t="s">
        <v>24</v>
      </c>
      <c r="L3" s="8" t="s">
        <v>25</v>
      </c>
      <c r="M3" s="8" t="s">
        <v>17</v>
      </c>
      <c r="N3" s="8" t="s">
        <v>20</v>
      </c>
      <c r="O3" s="8" t="s">
        <v>21</v>
      </c>
      <c r="P3" s="8" t="s">
        <v>18</v>
      </c>
      <c r="Q3" s="18"/>
      <c r="R3" s="8" t="s">
        <v>24</v>
      </c>
      <c r="S3" s="8" t="s">
        <v>25</v>
      </c>
      <c r="T3" s="8" t="s">
        <v>17</v>
      </c>
      <c r="U3" s="8" t="s">
        <v>20</v>
      </c>
      <c r="V3" s="8" t="s">
        <v>21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38386.674185441538</v>
      </c>
      <c r="D5" s="12">
        <v>23216.116115198678</v>
      </c>
      <c r="E5" s="13">
        <f t="shared" ref="E5" si="0">D5/C5</f>
        <v>0.60479623744022037</v>
      </c>
      <c r="F5" s="14">
        <v>0</v>
      </c>
      <c r="G5" s="14">
        <f t="shared" ref="G5" si="1">(H5/365)/C5</f>
        <v>0</v>
      </c>
      <c r="H5" s="15">
        <f t="shared" ref="H5" si="2">D5*F5*365</f>
        <v>0</v>
      </c>
      <c r="J5" s="5"/>
      <c r="K5" s="12">
        <v>38386.674185441538</v>
      </c>
      <c r="L5" s="12">
        <v>23216.116115198678</v>
      </c>
      <c r="M5" s="23">
        <v>0.60479623744022037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38133.200555289448</v>
      </c>
      <c r="D6" s="12">
        <v>23600.52658591028</v>
      </c>
      <c r="E6" s="13">
        <f t="shared" ref="E6:E9" si="3">D6/C6</f>
        <v>0.61889708291576007</v>
      </c>
      <c r="F6" s="14">
        <v>76.692783974749318</v>
      </c>
      <c r="G6" s="14">
        <f t="shared" ref="G6:G9" si="4">(H6/365)/C6</f>
        <v>47.464940282660905</v>
      </c>
      <c r="H6" s="15">
        <f t="shared" ref="H6:H9" si="5">D6*F6*365</f>
        <v>660646381.80739403</v>
      </c>
      <c r="J6" s="5"/>
      <c r="K6" s="12">
        <v>38133.200555289448</v>
      </c>
      <c r="L6" s="12">
        <v>23600.52658591028</v>
      </c>
      <c r="M6" s="23">
        <v>0.61889708291576007</v>
      </c>
      <c r="N6" s="14">
        <v>76.692783974749318</v>
      </c>
      <c r="O6" s="14">
        <v>47.464940282660905</v>
      </c>
      <c r="P6" s="15">
        <v>660646381.80739403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37915.916666666664</v>
      </c>
      <c r="D7" s="12">
        <v>24626.859030977957</v>
      </c>
      <c r="E7" s="13">
        <f t="shared" si="3"/>
        <v>0.64951242633752204</v>
      </c>
      <c r="F7" s="14">
        <v>81.099050816833881</v>
      </c>
      <c r="G7" s="14">
        <f t="shared" si="4"/>
        <v>52.674841269711777</v>
      </c>
      <c r="H7" s="15">
        <f t="shared" si="5"/>
        <v>728983435.58448434</v>
      </c>
      <c r="J7" s="5"/>
      <c r="K7" s="12">
        <v>37915.916666666664</v>
      </c>
      <c r="L7" s="12">
        <v>24626.859030977957</v>
      </c>
      <c r="M7" s="23">
        <v>0.64951242633752204</v>
      </c>
      <c r="N7" s="14">
        <v>81.099050816833881</v>
      </c>
      <c r="O7" s="14">
        <v>52.674841269711777</v>
      </c>
      <c r="P7" s="15">
        <v>728983435.58448434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38175.25</v>
      </c>
      <c r="D8" s="12">
        <v>24924.99222634573</v>
      </c>
      <c r="E8" s="13">
        <f t="shared" si="3"/>
        <v>0.6529097314711948</v>
      </c>
      <c r="F8" s="14">
        <v>86.18957538424624</v>
      </c>
      <c r="G8" s="14">
        <f t="shared" si="4"/>
        <v>56.27401251974451</v>
      </c>
      <c r="H8" s="15">
        <f t="shared" si="5"/>
        <v>784120191.20219743</v>
      </c>
      <c r="J8" s="5"/>
      <c r="K8" s="12">
        <v>38175.25</v>
      </c>
      <c r="L8" s="12">
        <v>24924.99222634573</v>
      </c>
      <c r="M8" s="23">
        <v>0.6529097314711948</v>
      </c>
      <c r="N8" s="14">
        <v>86.18957538424624</v>
      </c>
      <c r="O8" s="14">
        <v>56.27401251974451</v>
      </c>
      <c r="P8" s="15">
        <v>784120191.20219743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38397.916666666664</v>
      </c>
      <c r="D9" s="12">
        <v>25714.306803785203</v>
      </c>
      <c r="E9" s="13">
        <f t="shared" si="3"/>
        <v>0.66967973879967979</v>
      </c>
      <c r="F9" s="14">
        <v>89.990084699139842</v>
      </c>
      <c r="G9" s="14">
        <f t="shared" si="4"/>
        <v>60.264536415881032</v>
      </c>
      <c r="H9" s="15">
        <f t="shared" si="5"/>
        <v>844621916.24708891</v>
      </c>
      <c r="J9" s="5"/>
      <c r="K9" s="12">
        <v>38397.916666666664</v>
      </c>
      <c r="L9" s="12">
        <v>25714.306803785203</v>
      </c>
      <c r="M9" s="23">
        <v>0.66967973879967979</v>
      </c>
      <c r="N9" s="14">
        <v>89.990084699139842</v>
      </c>
      <c r="O9" s="14">
        <v>60.264536415881032</v>
      </c>
      <c r="P9" s="15">
        <v>844621916.24708891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38655.583333333336</v>
      </c>
      <c r="D10" s="12">
        <v>26162.707667690713</v>
      </c>
      <c r="E10" s="13">
        <f>D10/C10</f>
        <v>0.6768157510930688</v>
      </c>
      <c r="F10" s="14">
        <v>93.787830388221337</v>
      </c>
      <c r="G10" s="14">
        <f>(H10/365)/C10</f>
        <v>63.477080867593365</v>
      </c>
      <c r="H10" s="15">
        <f>D10*F10*365</f>
        <v>895616410.07040799</v>
      </c>
      <c r="J10" s="5"/>
      <c r="K10" s="12">
        <v>38655.583333333336</v>
      </c>
      <c r="L10" s="12">
        <v>26162.707667690713</v>
      </c>
      <c r="M10" s="23">
        <v>0.6768157510930688</v>
      </c>
      <c r="N10" s="14">
        <v>93.787830388221337</v>
      </c>
      <c r="O10" s="14">
        <v>63.477080867593365</v>
      </c>
      <c r="P10" s="15">
        <v>895616410.07040799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39760.833333333336</v>
      </c>
      <c r="D11" s="12">
        <v>26961.307629500003</v>
      </c>
      <c r="E11" s="13">
        <f t="shared" ref="E11:E15" si="6">D11/C11</f>
        <v>0.67808708644185023</v>
      </c>
      <c r="F11" s="14">
        <v>93.608351917126555</v>
      </c>
      <c r="G11" s="14">
        <f t="shared" ref="G11:G15" si="7">(H11/365)/C11</f>
        <v>63.474614618107736</v>
      </c>
      <c r="H11" s="15">
        <f t="shared" ref="H11:H15" si="8">D11*F11*365</f>
        <v>921188304.04577303</v>
      </c>
      <c r="J11" s="11">
        <v>2019</v>
      </c>
      <c r="K11" s="12">
        <v>39760.833333333336</v>
      </c>
      <c r="L11" s="12">
        <v>26961.307629500003</v>
      </c>
      <c r="M11" s="23">
        <v>0.67808708644185023</v>
      </c>
      <c r="N11" s="14">
        <v>93.608351917126555</v>
      </c>
      <c r="O11" s="14">
        <v>63.474614618107736</v>
      </c>
      <c r="P11" s="15">
        <v>921188304.04577303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41031.583333333336</v>
      </c>
      <c r="D12" s="12">
        <v>23780.101744833333</v>
      </c>
      <c r="E12" s="13">
        <f t="shared" si="6"/>
        <v>0.5795560349608736</v>
      </c>
      <c r="F12" s="14">
        <v>90.158473738271425</v>
      </c>
      <c r="G12" s="14">
        <f t="shared" si="7"/>
        <v>52.251887557876636</v>
      </c>
      <c r="H12" s="15">
        <f t="shared" si="8"/>
        <v>782551852.70906711</v>
      </c>
      <c r="J12" s="11">
        <v>2020</v>
      </c>
      <c r="K12" s="12">
        <v>41031.583333333336</v>
      </c>
      <c r="L12" s="12">
        <v>23780.101744833333</v>
      </c>
      <c r="M12" s="23">
        <v>0.5795560349608736</v>
      </c>
      <c r="N12" s="14">
        <v>90.158473738271425</v>
      </c>
      <c r="O12" s="14">
        <v>52.251887557876636</v>
      </c>
      <c r="P12" s="15">
        <v>782551852.70906711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41949.083333333336</v>
      </c>
      <c r="D13" s="12">
        <v>28412.853376562703</v>
      </c>
      <c r="E13" s="13">
        <f t="shared" si="6"/>
        <v>0.67731762219427205</v>
      </c>
      <c r="F13" s="14">
        <v>105.51050901544754</v>
      </c>
      <c r="G13" s="14">
        <f t="shared" si="7"/>
        <v>71.46412708285024</v>
      </c>
      <c r="H13" s="15">
        <f t="shared" si="8"/>
        <v>1094216937.154979</v>
      </c>
      <c r="J13" s="11">
        <v>2021</v>
      </c>
      <c r="K13" s="12">
        <v>41949.083333333336</v>
      </c>
      <c r="L13" s="12">
        <v>28412.853376562703</v>
      </c>
      <c r="M13" s="23">
        <v>0.67731762219427205</v>
      </c>
      <c r="N13" s="14">
        <v>105.51050901544754</v>
      </c>
      <c r="O13" s="14">
        <v>71.46412708285024</v>
      </c>
      <c r="P13" s="15">
        <v>1094216937.154979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42146</v>
      </c>
      <c r="D14" s="12">
        <v>26770.812295186872</v>
      </c>
      <c r="E14" s="13">
        <f t="shared" si="6"/>
        <v>0.63519224351508741</v>
      </c>
      <c r="F14" s="14">
        <v>117.47886359819319</v>
      </c>
      <c r="G14" s="14">
        <f t="shared" si="7"/>
        <v>74.621662934539259</v>
      </c>
      <c r="H14" s="15">
        <f t="shared" si="8"/>
        <v>1147926681.2042685</v>
      </c>
      <c r="J14" s="11">
        <v>2022</v>
      </c>
      <c r="K14" s="12">
        <v>42146</v>
      </c>
      <c r="L14" s="12">
        <v>26770.812295186872</v>
      </c>
      <c r="M14" s="23">
        <v>0.63519224351508741</v>
      </c>
      <c r="N14" s="14">
        <v>117.47886359819319</v>
      </c>
      <c r="O14" s="14">
        <v>74.621662934539259</v>
      </c>
      <c r="P14" s="15">
        <v>1147926681.2042685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42024.169354838705</v>
      </c>
      <c r="D15" s="12">
        <v>25929.041951296633</v>
      </c>
      <c r="E15" s="13">
        <f t="shared" si="6"/>
        <v>0.61700308059298115</v>
      </c>
      <c r="F15" s="14">
        <v>120.86474342910159</v>
      </c>
      <c r="G15" s="14">
        <f t="shared" si="7"/>
        <v>74.573919030835953</v>
      </c>
      <c r="H15" s="15">
        <f t="shared" si="8"/>
        <v>1143876056.0241458</v>
      </c>
      <c r="J15" s="11">
        <v>2023</v>
      </c>
      <c r="K15" s="12">
        <v>42024.169354838705</v>
      </c>
      <c r="L15" s="12">
        <v>25929.041951296633</v>
      </c>
      <c r="M15" s="23">
        <v>0.61700308059298115</v>
      </c>
      <c r="N15" s="14">
        <v>120.86474342910159</v>
      </c>
      <c r="O15" s="14">
        <v>74.573919030835953</v>
      </c>
      <c r="P15" s="15">
        <v>1143876056.0241458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42963.416666666664</v>
      </c>
      <c r="D16" s="12">
        <v>25640.868413978493</v>
      </c>
      <c r="E16" s="13">
        <f t="shared" ref="E16" si="9">D16/C16</f>
        <v>0.59680701404439418</v>
      </c>
      <c r="F16" s="14">
        <v>120.17506426129076</v>
      </c>
      <c r="G16" s="14">
        <f t="shared" ref="G16" si="10">(H16/365)/C16</f>
        <v>71.721321264374126</v>
      </c>
      <c r="H16" s="15">
        <f t="shared" ref="H16" si="11">D16*F16*365</f>
        <v>1124708448.4182854</v>
      </c>
      <c r="J16" s="11">
        <v>2024</v>
      </c>
      <c r="K16" s="12">
        <v>42963.416666666664</v>
      </c>
      <c r="L16" s="12">
        <v>25640.868413978493</v>
      </c>
      <c r="M16" s="23">
        <v>0.59680701404439418</v>
      </c>
      <c r="N16" s="14">
        <v>120.17506426129076</v>
      </c>
      <c r="O16" s="14">
        <v>71.721321264374126</v>
      </c>
      <c r="P16" s="15">
        <v>1124708448.4182854</v>
      </c>
      <c r="Q16" s="12"/>
      <c r="R16" s="25"/>
      <c r="S16" s="25"/>
      <c r="T16" s="24"/>
      <c r="U16" s="26"/>
      <c r="V16" s="26"/>
      <c r="W16" s="27"/>
    </row>
    <row r="17" spans="2:23" s="6" customFormat="1" ht="10.25" customHeight="1" outlineLevel="1" x14ac:dyDescent="0.15">
      <c r="B17" s="11">
        <v>2025</v>
      </c>
      <c r="C17" s="12">
        <v>43066.083333333336</v>
      </c>
      <c r="D17" s="12">
        <v>25922.216288360225</v>
      </c>
      <c r="E17" s="13">
        <f t="shared" ref="E17" si="12">D17/C17</f>
        <v>0.60191719984659753</v>
      </c>
      <c r="F17" s="14">
        <v>118.84368479361602</v>
      </c>
      <c r="G17" s="14">
        <f t="shared" ref="G17" si="13">(H17/365)/C17</f>
        <v>71.53405797042501</v>
      </c>
      <c r="H17" s="15">
        <f t="shared" ref="H17" si="14">D17*F17*365</f>
        <v>1124452471.1299248</v>
      </c>
      <c r="J17" s="11">
        <v>2025</v>
      </c>
      <c r="K17" s="12">
        <v>43066.083333333336</v>
      </c>
      <c r="L17" s="12">
        <v>25922.216288360225</v>
      </c>
      <c r="M17" s="23">
        <v>0.60191719984659753</v>
      </c>
      <c r="N17" s="14">
        <v>118.84368479361602</v>
      </c>
      <c r="O17" s="14">
        <v>71.53405797042501</v>
      </c>
      <c r="P17" s="15">
        <v>1124452471.1299248</v>
      </c>
      <c r="Q17" s="12"/>
      <c r="R17" s="25">
        <f t="shared" ref="R17:W20" si="15">C17-K17</f>
        <v>0</v>
      </c>
      <c r="S17" s="25">
        <f t="shared" si="15"/>
        <v>0</v>
      </c>
      <c r="T17" s="24">
        <f t="shared" si="15"/>
        <v>0</v>
      </c>
      <c r="U17" s="26">
        <f t="shared" si="15"/>
        <v>0</v>
      </c>
      <c r="V17" s="26">
        <f t="shared" si="15"/>
        <v>0</v>
      </c>
      <c r="W17" s="27">
        <f t="shared" si="15"/>
        <v>0</v>
      </c>
    </row>
    <row r="18" spans="2:23" s="6" customFormat="1" outlineLevel="1" x14ac:dyDescent="0.15">
      <c r="B18" s="11">
        <v>2026</v>
      </c>
      <c r="C18" s="12">
        <v>43861.666666666664</v>
      </c>
      <c r="D18" s="12">
        <v>26488.491763262253</v>
      </c>
      <c r="E18" s="13">
        <f t="shared" ref="E18" si="16">D18/C18</f>
        <v>0.60390983235009132</v>
      </c>
      <c r="F18" s="14">
        <v>119.55295306080477</v>
      </c>
      <c r="G18" s="14">
        <f t="shared" ref="G18" si="17">(H18/365)/C18</f>
        <v>72.199203839908947</v>
      </c>
      <c r="H18" s="15">
        <f t="shared" ref="H18" si="18">D18*F18*365</f>
        <v>1155873755.5350542</v>
      </c>
      <c r="J18" s="11">
        <v>2026</v>
      </c>
      <c r="K18" s="12">
        <v>44317.208333333343</v>
      </c>
      <c r="L18" s="12">
        <v>26232.155142289663</v>
      </c>
      <c r="M18" s="23">
        <v>0.59191804106846357</v>
      </c>
      <c r="N18" s="14">
        <v>119.87800704727501</v>
      </c>
      <c r="O18" s="14">
        <v>70.957955098614491</v>
      </c>
      <c r="P18" s="15">
        <v>1147800344.8396032</v>
      </c>
      <c r="Q18" s="12"/>
      <c r="R18" s="25">
        <f t="shared" si="15"/>
        <v>-455.54166666667879</v>
      </c>
      <c r="S18" s="25">
        <f t="shared" si="15"/>
        <v>256.33662097259003</v>
      </c>
      <c r="T18" s="24">
        <f t="shared" si="15"/>
        <v>1.1991791281627751E-2</v>
      </c>
      <c r="U18" s="26">
        <f t="shared" si="15"/>
        <v>-0.32505398647023753</v>
      </c>
      <c r="V18" s="26">
        <f t="shared" si="15"/>
        <v>1.2412487412944557</v>
      </c>
      <c r="W18" s="27">
        <f t="shared" si="15"/>
        <v>8073410.6954510212</v>
      </c>
    </row>
    <row r="19" spans="2:23" s="6" customFormat="1" outlineLevel="1" x14ac:dyDescent="0.15">
      <c r="B19" s="11">
        <v>2027</v>
      </c>
      <c r="C19" s="12">
        <v>44892.900000000016</v>
      </c>
      <c r="D19" s="12">
        <v>26831.821267407187</v>
      </c>
      <c r="E19" s="13">
        <f t="shared" ref="E19" si="19">D19/C19</f>
        <v>0.59768518557293415</v>
      </c>
      <c r="F19" s="14">
        <v>120.65566771201671</v>
      </c>
      <c r="G19" s="14">
        <f t="shared" ref="G19" si="20">(H19/365)/C19</f>
        <v>72.114105146882991</v>
      </c>
      <c r="H19" s="15">
        <f t="shared" ref="H19" si="21">D19*F19*365</f>
        <v>1181655128.4962041</v>
      </c>
      <c r="J19" s="11">
        <v>2027</v>
      </c>
      <c r="K19" s="12">
        <v>44950.625000000007</v>
      </c>
      <c r="L19" s="12">
        <v>26727.609671351911</v>
      </c>
      <c r="M19" s="23">
        <v>0.59459928913895876</v>
      </c>
      <c r="N19" s="14">
        <v>121.22379806793026</v>
      </c>
      <c r="O19" s="14">
        <v>72.079584157916003</v>
      </c>
      <c r="P19" s="15">
        <v>1182608160.5380247</v>
      </c>
      <c r="Q19" s="12"/>
      <c r="R19" s="25">
        <f t="shared" si="15"/>
        <v>-57.724999999991269</v>
      </c>
      <c r="S19" s="25">
        <f t="shared" si="15"/>
        <v>104.21159605527646</v>
      </c>
      <c r="T19" s="24">
        <f t="shared" si="15"/>
        <v>3.085896433975388E-3</v>
      </c>
      <c r="U19" s="26">
        <f t="shared" si="15"/>
        <v>-0.56813035591355288</v>
      </c>
      <c r="V19" s="26">
        <f t="shared" si="15"/>
        <v>3.4520988966988853E-2</v>
      </c>
      <c r="W19" s="27">
        <f t="shared" si="15"/>
        <v>-953032.04182052612</v>
      </c>
    </row>
    <row r="20" spans="2:23" s="6" customFormat="1" outlineLevel="1" x14ac:dyDescent="0.15">
      <c r="B20" s="11">
        <v>2028</v>
      </c>
      <c r="C20" s="12">
        <v>47061.383333333339</v>
      </c>
      <c r="D20" s="12">
        <v>27203.241932748824</v>
      </c>
      <c r="E20" s="13">
        <f t="shared" ref="E20" si="22">D20/C20</f>
        <v>0.57803744824221748</v>
      </c>
      <c r="F20" s="14">
        <v>122.56169311594773</v>
      </c>
      <c r="G20" s="14">
        <f t="shared" ref="G20" si="23">(H20/365)/C20</f>
        <v>70.845248340988178</v>
      </c>
      <c r="H20" s="15">
        <f t="shared" ref="H20" si="24">D20*F20*365</f>
        <v>1216937517.1749613</v>
      </c>
      <c r="J20" s="11">
        <v>2028</v>
      </c>
      <c r="K20" s="12">
        <v>45434.235832867191</v>
      </c>
      <c r="L20" s="12">
        <v>27173.394230181926</v>
      </c>
      <c r="M20" s="23">
        <v>0.59808190304203712</v>
      </c>
      <c r="N20" s="14">
        <v>123.14155985089943</v>
      </c>
      <c r="O20" s="14">
        <v>73.648738459190838</v>
      </c>
      <c r="P20" s="15">
        <v>1221353565.4610319</v>
      </c>
      <c r="Q20" s="12"/>
      <c r="R20" s="25">
        <f t="shared" si="15"/>
        <v>1627.1475004661479</v>
      </c>
      <c r="S20" s="25">
        <f t="shared" si="15"/>
        <v>29.847702566898079</v>
      </c>
      <c r="T20" s="24">
        <f t="shared" si="15"/>
        <v>-2.0044454799819644E-2</v>
      </c>
      <c r="U20" s="26">
        <f t="shared" si="15"/>
        <v>-0.57986673495169327</v>
      </c>
      <c r="V20" s="26">
        <f t="shared" si="15"/>
        <v>-2.8034901182026601</v>
      </c>
      <c r="W20" s="27">
        <f t="shared" si="15"/>
        <v>-4416048.2860705853</v>
      </c>
    </row>
    <row r="21" spans="2:23" s="6" customFormat="1" outlineLevel="1" x14ac:dyDescent="0.15">
      <c r="B21" s="11">
        <v>2029</v>
      </c>
      <c r="C21" s="12">
        <v>47401.384490729433</v>
      </c>
      <c r="D21" s="12">
        <v>27630.594299270473</v>
      </c>
      <c r="E21" s="13">
        <f t="shared" ref="E21" si="25">D21/C21</f>
        <v>0.58290690443175452</v>
      </c>
      <c r="F21" s="14">
        <v>124.5881380993566</v>
      </c>
      <c r="G21" s="14">
        <f t="shared" ref="G21" si="26">(H21/365)/C21</f>
        <v>72.623285908411873</v>
      </c>
      <c r="H21" s="15">
        <f t="shared" ref="H21" si="27">D21*F21*365</f>
        <v>1256492168.8885536</v>
      </c>
      <c r="J21" s="11">
        <v>2029</v>
      </c>
      <c r="K21" s="12">
        <v>45762.481449005732</v>
      </c>
      <c r="L21" s="12">
        <v>27587.428722593286</v>
      </c>
      <c r="M21" s="23">
        <v>0.60283944071814899</v>
      </c>
      <c r="N21" s="14">
        <v>125.1836618377277</v>
      </c>
      <c r="O21" s="14">
        <v>75.465648689305652</v>
      </c>
      <c r="P21" s="15">
        <v>1260525802.0862598</v>
      </c>
      <c r="Q21" s="12"/>
      <c r="R21" s="25">
        <f t="shared" ref="R21" si="28">C21-K21</f>
        <v>1638.9030417237009</v>
      </c>
      <c r="S21" s="25">
        <f t="shared" ref="S21" si="29">D21-L21</f>
        <v>43.165576677187346</v>
      </c>
      <c r="T21" s="24">
        <f t="shared" ref="T21" si="30">E21-M21</f>
        <v>-1.9932536286394464E-2</v>
      </c>
      <c r="U21" s="26">
        <f t="shared" ref="U21" si="31">F21-N21</f>
        <v>-0.5955237383710994</v>
      </c>
      <c r="V21" s="26">
        <f t="shared" ref="V21" si="32">G21-O21</f>
        <v>-2.8423627808937795</v>
      </c>
      <c r="W21" s="27">
        <f t="shared" ref="W21" si="33">H21-P21</f>
        <v>-4033633.1977062225</v>
      </c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f t="shared" ref="C24:H33" si="34">C6/C5-1</f>
        <v>-6.6031672587103518E-3</v>
      </c>
      <c r="D24" s="13">
        <f t="shared" si="34"/>
        <v>1.6557914717696631E-2</v>
      </c>
      <c r="E24" s="13">
        <f t="shared" si="34"/>
        <v>2.3315035052501321E-2</v>
      </c>
      <c r="F24" s="13" t="e">
        <f t="shared" si="34"/>
        <v>#DIV/0!</v>
      </c>
      <c r="G24" s="13" t="e">
        <f t="shared" si="34"/>
        <v>#DIV/0!</v>
      </c>
      <c r="H24" s="13" t="e">
        <f t="shared" si="34"/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f t="shared" si="34"/>
        <v>-5.6980239124628795E-3</v>
      </c>
      <c r="D25" s="13">
        <f t="shared" si="34"/>
        <v>4.3487692587351301E-2</v>
      </c>
      <c r="E25" s="13">
        <f t="shared" si="34"/>
        <v>4.9467583976202212E-2</v>
      </c>
      <c r="F25" s="13">
        <f t="shared" si="34"/>
        <v>5.745347363495501E-2</v>
      </c>
      <c r="G25" s="13">
        <f t="shared" si="34"/>
        <v>0.10976314214291905</v>
      </c>
      <c r="H25" s="13">
        <f t="shared" si="34"/>
        <v>0.10343968522181868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f t="shared" si="34"/>
        <v>6.8396957302452321E-3</v>
      </c>
      <c r="D26" s="13">
        <f t="shared" si="34"/>
        <v>1.2106017864184526E-2</v>
      </c>
      <c r="E26" s="13">
        <f t="shared" si="34"/>
        <v>5.2305467854241172E-3</v>
      </c>
      <c r="F26" s="13">
        <f t="shared" si="34"/>
        <v>6.2769224992651917E-2</v>
      </c>
      <c r="G26" s="13">
        <f t="shared" si="34"/>
        <v>6.8328089146084681E-2</v>
      </c>
      <c r="H26" s="13">
        <f t="shared" si="34"/>
        <v>7.5635128215918224E-2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f t="shared" si="34"/>
        <v>5.8327494035184113E-3</v>
      </c>
      <c r="D27" s="13">
        <f t="shared" si="34"/>
        <v>3.1667595731691645E-2</v>
      </c>
      <c r="E27" s="13">
        <f t="shared" si="34"/>
        <v>2.5685031973252004E-2</v>
      </c>
      <c r="F27" s="13">
        <f t="shared" si="34"/>
        <v>4.4094767817921765E-2</v>
      </c>
      <c r="G27" s="13">
        <f t="shared" si="34"/>
        <v>7.0912375312430331E-2</v>
      </c>
      <c r="H27" s="13">
        <f t="shared" si="34"/>
        <v>7.7158738830754192E-2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f t="shared" si="34"/>
        <v>6.7104335087624367E-3</v>
      </c>
      <c r="D28" s="13">
        <f t="shared" si="34"/>
        <v>1.7437797072542782E-2</v>
      </c>
      <c r="E28" s="13">
        <f t="shared" si="34"/>
        <v>1.0655858136277896E-2</v>
      </c>
      <c r="F28" s="13">
        <f t="shared" si="34"/>
        <v>4.2201823698447827E-2</v>
      </c>
      <c r="G28" s="13">
        <f t="shared" si="34"/>
        <v>5.3307378481148637E-2</v>
      </c>
      <c r="H28" s="13">
        <f t="shared" si="34"/>
        <v>6.0375527608735435E-2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f>B11</f>
        <v>2019</v>
      </c>
      <c r="C29" s="13">
        <f t="shared" si="34"/>
        <v>2.8592247346761024E-2</v>
      </c>
      <c r="D29" s="13">
        <f t="shared" si="34"/>
        <v>3.0524362078758083E-2</v>
      </c>
      <c r="E29" s="13">
        <f t="shared" si="34"/>
        <v>1.8784068584813962E-3</v>
      </c>
      <c r="F29" s="13">
        <f t="shared" si="34"/>
        <v>-1.9136648150602786E-3</v>
      </c>
      <c r="G29" s="13">
        <f t="shared" si="34"/>
        <v>-3.8852597692318191E-5</v>
      </c>
      <c r="H29" s="13">
        <f t="shared" si="34"/>
        <v>2.8552283865985295E-2</v>
      </c>
      <c r="J29" s="11">
        <f>J11</f>
        <v>2019</v>
      </c>
      <c r="K29" s="13">
        <f t="shared" ref="K29:P39" si="35">K11/K10-1</f>
        <v>2.8592247346761024E-2</v>
      </c>
      <c r="L29" s="13">
        <f t="shared" si="35"/>
        <v>3.0524362078758083E-2</v>
      </c>
      <c r="M29" s="13">
        <f t="shared" si="35"/>
        <v>1.8784068584813962E-3</v>
      </c>
      <c r="N29" s="13">
        <f t="shared" si="35"/>
        <v>-1.9136648150602786E-3</v>
      </c>
      <c r="O29" s="13">
        <f t="shared" si="35"/>
        <v>-3.8852597692318191E-5</v>
      </c>
      <c r="P29" s="13">
        <f t="shared" si="35"/>
        <v>2.8552283865985295E-2</v>
      </c>
      <c r="Q29" s="13"/>
      <c r="R29" s="22">
        <f t="shared" ref="R29:R38" si="36">C29-K29</f>
        <v>0</v>
      </c>
      <c r="S29" s="22">
        <f t="shared" ref="S29:S38" si="37">D29-L29</f>
        <v>0</v>
      </c>
      <c r="T29" s="22">
        <f t="shared" ref="T29:T38" si="38">E29-M29</f>
        <v>0</v>
      </c>
      <c r="U29" s="22">
        <f t="shared" ref="U29:U38" si="39">F29-N29</f>
        <v>0</v>
      </c>
      <c r="V29" s="22">
        <f t="shared" ref="V29:V38" si="40">G29-O29</f>
        <v>0</v>
      </c>
      <c r="W29" s="22">
        <f t="shared" ref="W29:W38" si="41">H29-P29</f>
        <v>0</v>
      </c>
    </row>
    <row r="30" spans="2:23" s="6" customFormat="1" x14ac:dyDescent="0.15">
      <c r="B30" s="11">
        <f>B12</f>
        <v>2020</v>
      </c>
      <c r="C30" s="13">
        <f t="shared" si="34"/>
        <v>3.1959843229308671E-2</v>
      </c>
      <c r="D30" s="13">
        <f t="shared" si="34"/>
        <v>-0.11799152802165724</v>
      </c>
      <c r="E30" s="13">
        <f t="shared" si="34"/>
        <v>-0.14530737047066034</v>
      </c>
      <c r="F30" s="13">
        <f t="shared" si="34"/>
        <v>-3.6854384338583124E-2</v>
      </c>
      <c r="G30" s="13">
        <f t="shared" si="34"/>
        <v>-0.17680654113068905</v>
      </c>
      <c r="H30" s="13">
        <f t="shared" si="34"/>
        <v>-0.15049740723783356</v>
      </c>
      <c r="J30" s="11">
        <f>J12</f>
        <v>2020</v>
      </c>
      <c r="K30" s="13">
        <f t="shared" si="35"/>
        <v>3.1959843229308671E-2</v>
      </c>
      <c r="L30" s="13">
        <f t="shared" si="35"/>
        <v>-0.11799152802165724</v>
      </c>
      <c r="M30" s="13">
        <f t="shared" si="35"/>
        <v>-0.14530737047066034</v>
      </c>
      <c r="N30" s="13">
        <f t="shared" si="35"/>
        <v>-3.6854384338583124E-2</v>
      </c>
      <c r="O30" s="13">
        <f t="shared" si="35"/>
        <v>-0.17680654113068905</v>
      </c>
      <c r="P30" s="13">
        <f t="shared" si="35"/>
        <v>-0.15049740723783356</v>
      </c>
      <c r="Q30" s="13"/>
      <c r="R30" s="22">
        <f t="shared" si="36"/>
        <v>0</v>
      </c>
      <c r="S30" s="22">
        <f t="shared" si="37"/>
        <v>0</v>
      </c>
      <c r="T30" s="22">
        <f t="shared" si="38"/>
        <v>0</v>
      </c>
      <c r="U30" s="22">
        <f t="shared" si="39"/>
        <v>0</v>
      </c>
      <c r="V30" s="22">
        <f t="shared" si="40"/>
        <v>0</v>
      </c>
      <c r="W30" s="22">
        <f t="shared" si="41"/>
        <v>0</v>
      </c>
    </row>
    <row r="31" spans="2:23" s="6" customFormat="1" x14ac:dyDescent="0.15">
      <c r="B31" s="11">
        <f>B13</f>
        <v>2021</v>
      </c>
      <c r="C31" s="13">
        <f t="shared" si="34"/>
        <v>2.2360823674445918E-2</v>
      </c>
      <c r="D31" s="13">
        <f t="shared" si="34"/>
        <v>0.19481630824964502</v>
      </c>
      <c r="E31" s="13">
        <f t="shared" si="34"/>
        <v>0.16868358076885248</v>
      </c>
      <c r="F31" s="13">
        <f t="shared" si="34"/>
        <v>0.17027834035592515</v>
      </c>
      <c r="G31" s="13">
        <f t="shared" si="34"/>
        <v>0.36768508130339272</v>
      </c>
      <c r="H31" s="13">
        <f t="shared" si="34"/>
        <v>0.3982676462485879</v>
      </c>
      <c r="J31" s="11">
        <f>J13</f>
        <v>2021</v>
      </c>
      <c r="K31" s="13">
        <f t="shared" si="35"/>
        <v>2.2360823674445918E-2</v>
      </c>
      <c r="L31" s="13">
        <f t="shared" si="35"/>
        <v>0.19481630824964502</v>
      </c>
      <c r="M31" s="13">
        <f t="shared" si="35"/>
        <v>0.16868358076885248</v>
      </c>
      <c r="N31" s="13">
        <f t="shared" si="35"/>
        <v>0.17027834035592515</v>
      </c>
      <c r="O31" s="13">
        <f t="shared" si="35"/>
        <v>0.36768508130339272</v>
      </c>
      <c r="P31" s="13">
        <f t="shared" si="35"/>
        <v>0.3982676462485879</v>
      </c>
      <c r="Q31" s="13"/>
      <c r="R31" s="22">
        <f t="shared" si="36"/>
        <v>0</v>
      </c>
      <c r="S31" s="22">
        <f t="shared" si="37"/>
        <v>0</v>
      </c>
      <c r="T31" s="22">
        <f t="shared" si="38"/>
        <v>0</v>
      </c>
      <c r="U31" s="22">
        <f t="shared" si="39"/>
        <v>0</v>
      </c>
      <c r="V31" s="22">
        <f t="shared" si="40"/>
        <v>0</v>
      </c>
      <c r="W31" s="22">
        <f t="shared" si="41"/>
        <v>0</v>
      </c>
    </row>
    <row r="32" spans="2:23" s="6" customFormat="1" outlineLevel="1" x14ac:dyDescent="0.15">
      <c r="B32" s="11">
        <f>B14</f>
        <v>2022</v>
      </c>
      <c r="C32" s="13">
        <f t="shared" si="34"/>
        <v>4.6941828287865306E-3</v>
      </c>
      <c r="D32" s="13">
        <f t="shared" si="34"/>
        <v>-5.7792192132674836E-2</v>
      </c>
      <c r="E32" s="13">
        <f t="shared" si="34"/>
        <v>-6.2194422969113261E-2</v>
      </c>
      <c r="F32" s="13">
        <f t="shared" si="34"/>
        <v>0.11343282005201383</v>
      </c>
      <c r="G32" s="13">
        <f t="shared" si="34"/>
        <v>4.418350829400608E-2</v>
      </c>
      <c r="H32" s="13">
        <f t="shared" si="34"/>
        <v>4.9085096588741939E-2</v>
      </c>
      <c r="J32" s="11">
        <f>J14</f>
        <v>2022</v>
      </c>
      <c r="K32" s="13">
        <f t="shared" si="35"/>
        <v>4.6941828287865306E-3</v>
      </c>
      <c r="L32" s="13">
        <f t="shared" si="35"/>
        <v>-5.7792192132674836E-2</v>
      </c>
      <c r="M32" s="13">
        <f t="shared" si="35"/>
        <v>-6.2194422969113261E-2</v>
      </c>
      <c r="N32" s="13">
        <f t="shared" si="35"/>
        <v>0.11343282005201383</v>
      </c>
      <c r="O32" s="13">
        <f t="shared" si="35"/>
        <v>4.418350829400608E-2</v>
      </c>
      <c r="P32" s="13">
        <f t="shared" si="35"/>
        <v>4.9085096588741939E-2</v>
      </c>
      <c r="Q32" s="13"/>
      <c r="R32" s="22">
        <f t="shared" si="36"/>
        <v>0</v>
      </c>
      <c r="S32" s="22">
        <f t="shared" si="37"/>
        <v>0</v>
      </c>
      <c r="T32" s="22">
        <f t="shared" si="38"/>
        <v>0</v>
      </c>
      <c r="U32" s="22">
        <f t="shared" si="39"/>
        <v>0</v>
      </c>
      <c r="V32" s="22">
        <f t="shared" si="40"/>
        <v>0</v>
      </c>
      <c r="W32" s="22">
        <f t="shared" si="41"/>
        <v>0</v>
      </c>
    </row>
    <row r="33" spans="2:23" s="6" customFormat="1" outlineLevel="1" x14ac:dyDescent="0.15">
      <c r="B33" s="11">
        <v>2023</v>
      </c>
      <c r="C33" s="13">
        <f t="shared" si="34"/>
        <v>-2.8906810886275558E-3</v>
      </c>
      <c r="D33" s="13">
        <f t="shared" si="34"/>
        <v>-3.1443586194117135E-2</v>
      </c>
      <c r="E33" s="13">
        <f t="shared" si="34"/>
        <v>-2.8635681729124007E-2</v>
      </c>
      <c r="F33" s="13">
        <f t="shared" si="34"/>
        <v>2.8821183038414189E-2</v>
      </c>
      <c r="G33" s="13">
        <f t="shared" si="34"/>
        <v>-6.3981291525472272E-4</v>
      </c>
      <c r="H33" s="13">
        <f t="shared" si="34"/>
        <v>-3.5286445087879814E-3</v>
      </c>
      <c r="J33" s="11">
        <v>2023</v>
      </c>
      <c r="K33" s="13">
        <f t="shared" si="35"/>
        <v>-2.8906810886275558E-3</v>
      </c>
      <c r="L33" s="13">
        <f t="shared" si="35"/>
        <v>-3.1443586194117135E-2</v>
      </c>
      <c r="M33" s="13">
        <f t="shared" si="35"/>
        <v>-2.8635681729124007E-2</v>
      </c>
      <c r="N33" s="13">
        <f t="shared" si="35"/>
        <v>2.8821183038414189E-2</v>
      </c>
      <c r="O33" s="13">
        <f t="shared" si="35"/>
        <v>-6.3981291525472272E-4</v>
      </c>
      <c r="P33" s="13">
        <f t="shared" si="35"/>
        <v>-3.5286445087879814E-3</v>
      </c>
      <c r="Q33" s="13"/>
      <c r="R33" s="22">
        <f t="shared" si="36"/>
        <v>0</v>
      </c>
      <c r="S33" s="22">
        <f t="shared" si="37"/>
        <v>0</v>
      </c>
      <c r="T33" s="22">
        <f t="shared" si="38"/>
        <v>0</v>
      </c>
      <c r="U33" s="22">
        <f t="shared" si="39"/>
        <v>0</v>
      </c>
      <c r="V33" s="22">
        <f t="shared" si="40"/>
        <v>0</v>
      </c>
      <c r="W33" s="22">
        <f t="shared" si="41"/>
        <v>0</v>
      </c>
    </row>
    <row r="34" spans="2:23" s="6" customFormat="1" outlineLevel="1" x14ac:dyDescent="0.15">
      <c r="B34" s="11">
        <v>2024</v>
      </c>
      <c r="C34" s="13">
        <f t="shared" ref="C34:H39" si="42">C16/C15-1</f>
        <v>2.2350169586869306E-2</v>
      </c>
      <c r="D34" s="13">
        <f t="shared" si="42"/>
        <v>-1.1113929232689168E-2</v>
      </c>
      <c r="E34" s="13">
        <f t="shared" si="42"/>
        <v>-3.2732521414929105E-2</v>
      </c>
      <c r="F34" s="13">
        <f t="shared" si="42"/>
        <v>-5.7062063612901559E-3</v>
      </c>
      <c r="G34" s="13">
        <f t="shared" si="42"/>
        <v>-3.8251949254300199E-2</v>
      </c>
      <c r="H34" s="13">
        <f t="shared" si="42"/>
        <v>-1.6756717220292816E-2</v>
      </c>
      <c r="J34" s="11">
        <v>2024</v>
      </c>
      <c r="K34" s="13">
        <f t="shared" si="35"/>
        <v>2.2350169586869306E-2</v>
      </c>
      <c r="L34" s="13">
        <f t="shared" si="35"/>
        <v>-1.1113929232689168E-2</v>
      </c>
      <c r="M34" s="13">
        <f t="shared" si="35"/>
        <v>-3.2732521414929105E-2</v>
      </c>
      <c r="N34" s="13">
        <f t="shared" si="35"/>
        <v>-5.7062063612901559E-3</v>
      </c>
      <c r="O34" s="13">
        <f t="shared" si="35"/>
        <v>-3.8251949254300199E-2</v>
      </c>
      <c r="P34" s="13">
        <f t="shared" si="35"/>
        <v>-1.6756717220292816E-2</v>
      </c>
      <c r="Q34" s="13"/>
      <c r="R34" s="22">
        <f t="shared" si="36"/>
        <v>0</v>
      </c>
      <c r="S34" s="22">
        <f t="shared" si="37"/>
        <v>0</v>
      </c>
      <c r="T34" s="22">
        <f t="shared" si="38"/>
        <v>0</v>
      </c>
      <c r="U34" s="22">
        <f t="shared" si="39"/>
        <v>0</v>
      </c>
      <c r="V34" s="22">
        <f t="shared" si="40"/>
        <v>0</v>
      </c>
      <c r="W34" s="22">
        <f t="shared" si="41"/>
        <v>0</v>
      </c>
    </row>
    <row r="35" spans="2:23" s="6" customFormat="1" outlineLevel="1" x14ac:dyDescent="0.15">
      <c r="B35" s="11">
        <v>2025</v>
      </c>
      <c r="C35" s="13">
        <f t="shared" si="42"/>
        <v>2.3896299370977925E-3</v>
      </c>
      <c r="D35" s="13">
        <f t="shared" si="42"/>
        <v>1.0972634383488833E-2</v>
      </c>
      <c r="E35" s="13">
        <f t="shared" si="42"/>
        <v>8.5625431369733551E-3</v>
      </c>
      <c r="F35" s="13">
        <f t="shared" si="42"/>
        <v>-1.1078666575788043E-2</v>
      </c>
      <c r="G35" s="13">
        <f t="shared" si="42"/>
        <v>-2.6109849992701495E-3</v>
      </c>
      <c r="H35" s="13">
        <f t="shared" si="42"/>
        <v>-2.2759435009189755E-4</v>
      </c>
      <c r="J35" s="11">
        <v>2025</v>
      </c>
      <c r="K35" s="13">
        <f t="shared" si="35"/>
        <v>2.3896299370977925E-3</v>
      </c>
      <c r="L35" s="13">
        <f t="shared" si="35"/>
        <v>1.0972634383488833E-2</v>
      </c>
      <c r="M35" s="13">
        <f t="shared" si="35"/>
        <v>8.5625431369733551E-3</v>
      </c>
      <c r="N35" s="13">
        <f t="shared" si="35"/>
        <v>-1.1078666575788043E-2</v>
      </c>
      <c r="O35" s="13">
        <f t="shared" si="35"/>
        <v>-2.6109849992701495E-3</v>
      </c>
      <c r="P35" s="13">
        <f t="shared" si="35"/>
        <v>-2.2759435009189755E-4</v>
      </c>
      <c r="Q35" s="13"/>
      <c r="R35" s="22">
        <f t="shared" si="36"/>
        <v>0</v>
      </c>
      <c r="S35" s="22">
        <f t="shared" si="37"/>
        <v>0</v>
      </c>
      <c r="T35" s="22">
        <f t="shared" si="38"/>
        <v>0</v>
      </c>
      <c r="U35" s="22">
        <f t="shared" si="39"/>
        <v>0</v>
      </c>
      <c r="V35" s="22">
        <f t="shared" si="40"/>
        <v>0</v>
      </c>
      <c r="W35" s="22">
        <f t="shared" si="41"/>
        <v>0</v>
      </c>
    </row>
    <row r="36" spans="2:23" s="6" customFormat="1" outlineLevel="1" x14ac:dyDescent="0.15">
      <c r="B36" s="11">
        <v>2026</v>
      </c>
      <c r="C36" s="13">
        <f t="shared" si="42"/>
        <v>1.8473547435820414E-2</v>
      </c>
      <c r="D36" s="13">
        <f t="shared" si="42"/>
        <v>2.1845179771773582E-2</v>
      </c>
      <c r="E36" s="13">
        <f t="shared" si="42"/>
        <v>3.3104760987086035E-3</v>
      </c>
      <c r="F36" s="13">
        <f t="shared" si="42"/>
        <v>5.9680770452419374E-3</v>
      </c>
      <c r="G36" s="13">
        <f t="shared" si="42"/>
        <v>9.2983103203643225E-3</v>
      </c>
      <c r="H36" s="13">
        <f t="shared" si="42"/>
        <v>2.7943630532960784E-2</v>
      </c>
      <c r="J36" s="11">
        <v>2026</v>
      </c>
      <c r="K36" s="13">
        <f t="shared" si="35"/>
        <v>2.9051283589367705E-2</v>
      </c>
      <c r="L36" s="13">
        <f t="shared" si="35"/>
        <v>1.1956495173161885E-2</v>
      </c>
      <c r="M36" s="13">
        <f t="shared" si="35"/>
        <v>-1.6612183171842099E-2</v>
      </c>
      <c r="N36" s="13">
        <f t="shared" si="35"/>
        <v>8.7032159551025945E-3</v>
      </c>
      <c r="O36" s="13">
        <f t="shared" si="35"/>
        <v>-8.0535466343696349E-3</v>
      </c>
      <c r="P36" s="13">
        <f t="shared" si="35"/>
        <v>2.0763771087822791E-2</v>
      </c>
      <c r="Q36" s="13"/>
      <c r="R36" s="22">
        <f t="shared" si="36"/>
        <v>-1.057773615354729E-2</v>
      </c>
      <c r="S36" s="22">
        <f t="shared" si="37"/>
        <v>9.8886845986116967E-3</v>
      </c>
      <c r="T36" s="22">
        <f t="shared" si="38"/>
        <v>1.9922659270550702E-2</v>
      </c>
      <c r="U36" s="22">
        <f t="shared" si="39"/>
        <v>-2.7351389098606571E-3</v>
      </c>
      <c r="V36" s="22">
        <f t="shared" si="40"/>
        <v>1.7351856954733957E-2</v>
      </c>
      <c r="W36" s="22">
        <f t="shared" si="41"/>
        <v>7.1798594451379927E-3</v>
      </c>
    </row>
    <row r="37" spans="2:23" s="6" customFormat="1" outlineLevel="1" x14ac:dyDescent="0.15">
      <c r="B37" s="11">
        <v>2027</v>
      </c>
      <c r="C37" s="13">
        <f t="shared" si="42"/>
        <v>2.3511038492229686E-2</v>
      </c>
      <c r="D37" s="13">
        <f t="shared" si="42"/>
        <v>1.2961459157939226E-2</v>
      </c>
      <c r="E37" s="13">
        <f t="shared" si="42"/>
        <v>-1.0307245293447509E-2</v>
      </c>
      <c r="F37" s="13">
        <f t="shared" si="42"/>
        <v>9.2236504660081486E-3</v>
      </c>
      <c r="G37" s="13">
        <f t="shared" si="42"/>
        <v>-1.1786652552935317E-3</v>
      </c>
      <c r="H37" s="13">
        <f t="shared" si="42"/>
        <v>2.2304661592749575E-2</v>
      </c>
      <c r="J37" s="11">
        <v>2027</v>
      </c>
      <c r="K37" s="13">
        <f t="shared" si="35"/>
        <v>1.429279258527294E-2</v>
      </c>
      <c r="L37" s="13">
        <f t="shared" si="35"/>
        <v>1.8887297912610679E-2</v>
      </c>
      <c r="M37" s="13">
        <f t="shared" si="35"/>
        <v>4.5297623732760695E-3</v>
      </c>
      <c r="N37" s="13">
        <f t="shared" si="35"/>
        <v>1.1226337956423693E-2</v>
      </c>
      <c r="O37" s="13">
        <f t="shared" si="35"/>
        <v>1.5806952972964305E-2</v>
      </c>
      <c r="P37" s="13">
        <f t="shared" si="35"/>
        <v>3.0325671058484938E-2</v>
      </c>
      <c r="Q37" s="13"/>
      <c r="R37" s="22">
        <f t="shared" si="36"/>
        <v>9.2182459069567457E-3</v>
      </c>
      <c r="S37" s="22">
        <f t="shared" si="37"/>
        <v>-5.925838754671453E-3</v>
      </c>
      <c r="T37" s="22">
        <f t="shared" si="38"/>
        <v>-1.4837007666723578E-2</v>
      </c>
      <c r="U37" s="22">
        <f t="shared" si="39"/>
        <v>-2.0026874904155445E-3</v>
      </c>
      <c r="V37" s="22">
        <f t="shared" si="40"/>
        <v>-1.6985618228257837E-2</v>
      </c>
      <c r="W37" s="22">
        <f t="shared" si="41"/>
        <v>-8.0210094657353626E-3</v>
      </c>
    </row>
    <row r="38" spans="2:23" s="6" customFormat="1" outlineLevel="1" x14ac:dyDescent="0.15">
      <c r="B38" s="11">
        <v>2028</v>
      </c>
      <c r="C38" s="13">
        <f t="shared" si="42"/>
        <v>4.8303480802829091E-2</v>
      </c>
      <c r="D38" s="13">
        <f t="shared" si="42"/>
        <v>1.3842543957044207E-2</v>
      </c>
      <c r="E38" s="13">
        <f t="shared" si="42"/>
        <v>-3.2873053916975703E-2</v>
      </c>
      <c r="F38" s="13">
        <f t="shared" si="42"/>
        <v>1.5797230582490052E-2</v>
      </c>
      <c r="G38" s="13">
        <f t="shared" si="42"/>
        <v>-1.7595126547162887E-2</v>
      </c>
      <c r="H38" s="13">
        <f t="shared" si="42"/>
        <v>2.9858448398271786E-2</v>
      </c>
      <c r="J38" s="11">
        <v>2028</v>
      </c>
      <c r="K38" s="13">
        <f t="shared" si="35"/>
        <v>1.0758712095041645E-2</v>
      </c>
      <c r="L38" s="13">
        <f t="shared" si="35"/>
        <v>1.6678803840353584E-2</v>
      </c>
      <c r="M38" s="13">
        <f t="shared" si="35"/>
        <v>5.8570771386583509E-3</v>
      </c>
      <c r="N38" s="13">
        <f t="shared" si="35"/>
        <v>1.5820010703628595E-2</v>
      </c>
      <c r="O38" s="13">
        <f t="shared" si="35"/>
        <v>2.1769746865312634E-2</v>
      </c>
      <c r="P38" s="13">
        <f t="shared" si="35"/>
        <v>3.2762673399260311E-2</v>
      </c>
      <c r="Q38" s="13"/>
      <c r="R38" s="22">
        <f t="shared" si="36"/>
        <v>3.7544768707787446E-2</v>
      </c>
      <c r="S38" s="22">
        <f t="shared" si="37"/>
        <v>-2.8362598833093777E-3</v>
      </c>
      <c r="T38" s="22">
        <f t="shared" si="38"/>
        <v>-3.8730131055634054E-2</v>
      </c>
      <c r="U38" s="22">
        <f t="shared" si="39"/>
        <v>-2.2780121138543663E-5</v>
      </c>
      <c r="V38" s="22">
        <f t="shared" si="40"/>
        <v>-3.9364873412475521E-2</v>
      </c>
      <c r="W38" s="22">
        <f t="shared" si="41"/>
        <v>-2.9042250009885251E-3</v>
      </c>
    </row>
    <row r="39" spans="2:23" s="6" customFormat="1" outlineLevel="1" x14ac:dyDescent="0.15">
      <c r="B39" s="11">
        <v>2029</v>
      </c>
      <c r="C39" s="13">
        <f t="shared" si="42"/>
        <v>7.2246316048103498E-3</v>
      </c>
      <c r="D39" s="13">
        <f t="shared" si="42"/>
        <v>1.5709611655042366E-2</v>
      </c>
      <c r="E39" s="13">
        <f t="shared" si="42"/>
        <v>8.4241188946232448E-3</v>
      </c>
      <c r="F39" s="13">
        <f t="shared" si="42"/>
        <v>1.6534081178951832E-2</v>
      </c>
      <c r="G39" s="13">
        <f t="shared" si="42"/>
        <v>2.5097485139239595E-2</v>
      </c>
      <c r="H39" s="13">
        <f t="shared" si="42"/>
        <v>3.2503436828388521E-2</v>
      </c>
      <c r="J39" s="11">
        <v>2029</v>
      </c>
      <c r="K39" s="13">
        <f t="shared" si="35"/>
        <v>7.2246316048103498E-3</v>
      </c>
      <c r="L39" s="13">
        <f t="shared" si="35"/>
        <v>1.5236760225981749E-2</v>
      </c>
      <c r="M39" s="13">
        <f t="shared" si="35"/>
        <v>7.9546591393477861E-3</v>
      </c>
      <c r="N39" s="13">
        <f t="shared" si="35"/>
        <v>1.6583369491996569E-2</v>
      </c>
      <c r="O39" s="13">
        <f t="shared" si="35"/>
        <v>2.46699436830351E-2</v>
      </c>
      <c r="P39" s="13">
        <f t="shared" si="35"/>
        <v>3.2072806542666754E-2</v>
      </c>
      <c r="Q39" s="13"/>
      <c r="R39" s="22">
        <f t="shared" ref="R39" si="43">C39-K39</f>
        <v>0</v>
      </c>
      <c r="S39" s="22">
        <f t="shared" ref="S39" si="44">D39-L39</f>
        <v>4.7285142906061672E-4</v>
      </c>
      <c r="T39" s="22">
        <f t="shared" ref="T39" si="45">E39-M39</f>
        <v>4.6945975527545869E-4</v>
      </c>
      <c r="U39" s="22">
        <f t="shared" ref="U39" si="46">F39-N39</f>
        <v>-4.9288313044737464E-5</v>
      </c>
      <c r="V39" s="22">
        <f t="shared" ref="V39" si="47">G39-O39</f>
        <v>4.2754145620449435E-4</v>
      </c>
      <c r="W39" s="22">
        <f t="shared" ref="W39" si="48">H39-P39</f>
        <v>4.3063028572176698E-4</v>
      </c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41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D03B-BF50-499A-A27D-4E6EDACD1F45}">
  <dimension ref="B1:W50"/>
  <sheetViews>
    <sheetView zoomScale="150" zoomScaleNormal="150" workbookViewId="0">
      <selection activeCell="U62" sqref="U62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30</v>
      </c>
    </row>
    <row r="2" spans="2:23" s="6" customFormat="1" ht="11.5" customHeight="1" x14ac:dyDescent="0.15">
      <c r="K2" s="28" t="s">
        <v>19</v>
      </c>
      <c r="L2" s="28"/>
      <c r="M2" s="28"/>
      <c r="N2" s="28"/>
      <c r="O2" s="28"/>
      <c r="P2" s="28"/>
      <c r="Q2" s="29"/>
      <c r="R2" s="28" t="s">
        <v>26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24</v>
      </c>
      <c r="D3" s="8" t="s">
        <v>25</v>
      </c>
      <c r="E3" s="8" t="s">
        <v>17</v>
      </c>
      <c r="F3" s="8" t="s">
        <v>20</v>
      </c>
      <c r="G3" s="8" t="s">
        <v>21</v>
      </c>
      <c r="H3" s="8" t="s">
        <v>18</v>
      </c>
      <c r="K3" s="8" t="s">
        <v>24</v>
      </c>
      <c r="L3" s="8" t="s">
        <v>25</v>
      </c>
      <c r="M3" s="8" t="s">
        <v>17</v>
      </c>
      <c r="N3" s="8" t="s">
        <v>20</v>
      </c>
      <c r="O3" s="8" t="s">
        <v>21</v>
      </c>
      <c r="P3" s="8" t="s">
        <v>18</v>
      </c>
      <c r="Q3" s="18"/>
      <c r="R3" s="8" t="s">
        <v>24</v>
      </c>
      <c r="S3" s="8" t="s">
        <v>25</v>
      </c>
      <c r="T3" s="8" t="s">
        <v>17</v>
      </c>
      <c r="U3" s="8" t="s">
        <v>20</v>
      </c>
      <c r="V3" s="8" t="s">
        <v>21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23456.452248340178</v>
      </c>
      <c r="D5" s="12">
        <v>14478.144239576453</v>
      </c>
      <c r="E5" s="13">
        <f t="shared" ref="E5:E9" si="0">D5/C5</f>
        <v>0.61723503990681083</v>
      </c>
      <c r="F5" s="14">
        <v>0</v>
      </c>
      <c r="G5" s="14">
        <f t="shared" ref="G5:G9" si="1">(H5/365)/C5</f>
        <v>0</v>
      </c>
      <c r="H5" s="15">
        <f t="shared" ref="H5:H9" si="2">D5*F5*365</f>
        <v>0</v>
      </c>
      <c r="J5" s="5"/>
      <c r="K5" s="12">
        <v>23456.452248340178</v>
      </c>
      <c r="L5" s="12">
        <v>14478.144239576453</v>
      </c>
      <c r="M5" s="23">
        <v>0.61723503990681083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23926.876221789218</v>
      </c>
      <c r="D6" s="12">
        <v>13705.85337094934</v>
      </c>
      <c r="E6" s="13">
        <f t="shared" si="0"/>
        <v>0.57282251322335109</v>
      </c>
      <c r="F6" s="14">
        <v>114.10093619351393</v>
      </c>
      <c r="G6" s="14">
        <f t="shared" si="1"/>
        <v>65.359585031505887</v>
      </c>
      <c r="H6" s="15">
        <f t="shared" si="2"/>
        <v>570805505.84906721</v>
      </c>
      <c r="J6" s="5"/>
      <c r="K6" s="12">
        <v>23926.876221789218</v>
      </c>
      <c r="L6" s="12">
        <v>13705.85337094934</v>
      </c>
      <c r="M6" s="23">
        <v>0.57282251322335109</v>
      </c>
      <c r="N6" s="14">
        <v>114.10093619351393</v>
      </c>
      <c r="O6" s="14">
        <v>65.359585031505887</v>
      </c>
      <c r="P6" s="15">
        <v>570805505.84906721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24315</v>
      </c>
      <c r="D7" s="12">
        <v>14166.398812365178</v>
      </c>
      <c r="E7" s="13">
        <f t="shared" si="0"/>
        <v>0.58261973318384441</v>
      </c>
      <c r="F7" s="14">
        <v>119.74856246289394</v>
      </c>
      <c r="G7" s="14">
        <f t="shared" si="1"/>
        <v>69.767875511280195</v>
      </c>
      <c r="H7" s="15">
        <f t="shared" si="2"/>
        <v>619188150.96572399</v>
      </c>
      <c r="J7" s="5"/>
      <c r="K7" s="12">
        <v>24315</v>
      </c>
      <c r="L7" s="12">
        <v>14166.398812365178</v>
      </c>
      <c r="M7" s="23">
        <v>0.58261973318384441</v>
      </c>
      <c r="N7" s="14">
        <v>119.74856246289394</v>
      </c>
      <c r="O7" s="14">
        <v>69.767875511280195</v>
      </c>
      <c r="P7" s="15">
        <v>619188150.96572399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24295.5</v>
      </c>
      <c r="D8" s="12">
        <v>14583.947428793157</v>
      </c>
      <c r="E8" s="13">
        <f t="shared" si="0"/>
        <v>0.60027360740849778</v>
      </c>
      <c r="F8" s="14">
        <v>128.03542043781636</v>
      </c>
      <c r="G8" s="14">
        <f t="shared" si="1"/>
        <v>76.856283702271725</v>
      </c>
      <c r="H8" s="15">
        <f t="shared" si="2"/>
        <v>681550571.85131812</v>
      </c>
      <c r="J8" s="5"/>
      <c r="K8" s="12">
        <v>24295.5</v>
      </c>
      <c r="L8" s="12">
        <v>14583.947428793157</v>
      </c>
      <c r="M8" s="23">
        <v>0.60027360740849778</v>
      </c>
      <c r="N8" s="14">
        <v>128.03542043781636</v>
      </c>
      <c r="O8" s="14">
        <v>76.856283702271725</v>
      </c>
      <c r="P8" s="15">
        <v>681550571.85131812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24537.916666666668</v>
      </c>
      <c r="D9" s="12">
        <v>14873.621491159853</v>
      </c>
      <c r="E9" s="13">
        <f t="shared" si="0"/>
        <v>0.60614850450465507</v>
      </c>
      <c r="F9" s="14">
        <v>130.833587477403</v>
      </c>
      <c r="G9" s="14">
        <f t="shared" si="1"/>
        <v>79.304583388406797</v>
      </c>
      <c r="H9" s="15">
        <f t="shared" si="2"/>
        <v>710278779.34134698</v>
      </c>
      <c r="J9" s="5"/>
      <c r="K9" s="12">
        <v>24537.916666666668</v>
      </c>
      <c r="L9" s="12">
        <v>14873.621491159853</v>
      </c>
      <c r="M9" s="23">
        <v>0.60614850450465507</v>
      </c>
      <c r="N9" s="14">
        <v>130.833587477403</v>
      </c>
      <c r="O9" s="14">
        <v>79.304583388406797</v>
      </c>
      <c r="P9" s="15">
        <v>710278779.34134698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24859.75</v>
      </c>
      <c r="D10" s="12">
        <v>15376.350564410503</v>
      </c>
      <c r="E10" s="13">
        <f>D10/C10</f>
        <v>0.61852394189042537</v>
      </c>
      <c r="F10" s="14">
        <v>136.23766547310751</v>
      </c>
      <c r="G10" s="14">
        <f>(H10/365)/C10</f>
        <v>84.266257882375569</v>
      </c>
      <c r="H10" s="15">
        <f>D10*F10*365</f>
        <v>764615908.10285592</v>
      </c>
      <c r="J10" s="5"/>
      <c r="K10" s="12">
        <v>24859.75</v>
      </c>
      <c r="L10" s="12">
        <v>15376.350564410503</v>
      </c>
      <c r="M10" s="23">
        <v>0.61852394189042537</v>
      </c>
      <c r="N10" s="14">
        <v>136.23766547310751</v>
      </c>
      <c r="O10" s="14">
        <v>84.266257882375569</v>
      </c>
      <c r="P10" s="15">
        <v>764615908.10285592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26397.666666666668</v>
      </c>
      <c r="D11" s="12">
        <v>16246.356020666668</v>
      </c>
      <c r="E11" s="13">
        <f t="shared" ref="E11:E15" si="3">D11/C11</f>
        <v>0.61544666904903211</v>
      </c>
      <c r="F11" s="14">
        <v>134.36826864133468</v>
      </c>
      <c r="G11" s="14">
        <f t="shared" ref="G11:G15" si="4">(H11/365)/C11</f>
        <v>82.696503361194942</v>
      </c>
      <c r="H11" s="15">
        <f t="shared" ref="H11:H15" si="5">D11*F11*365</f>
        <v>796793076.53311181</v>
      </c>
      <c r="J11" s="11">
        <v>2019</v>
      </c>
      <c r="K11" s="12">
        <v>26397.666666666668</v>
      </c>
      <c r="L11" s="12">
        <v>16246.356020666668</v>
      </c>
      <c r="M11" s="23">
        <v>0.61544666904903211</v>
      </c>
      <c r="N11" s="14">
        <v>134.36826864133468</v>
      </c>
      <c r="O11" s="14">
        <v>82.696503361194942</v>
      </c>
      <c r="P11" s="15">
        <v>796793076.53311181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23893</v>
      </c>
      <c r="D12" s="12">
        <v>11375.421051083331</v>
      </c>
      <c r="E12" s="13">
        <f t="shared" si="3"/>
        <v>0.47609848286457668</v>
      </c>
      <c r="F12" s="14">
        <v>118.49210449491117</v>
      </c>
      <c r="G12" s="14">
        <f t="shared" si="4"/>
        <v>56.413911181458097</v>
      </c>
      <c r="H12" s="15">
        <f t="shared" si="5"/>
        <v>491982616.64838105</v>
      </c>
      <c r="J12" s="11">
        <v>2020</v>
      </c>
      <c r="K12" s="12">
        <v>23893</v>
      </c>
      <c r="L12" s="12">
        <v>11375.421051083331</v>
      </c>
      <c r="M12" s="23">
        <v>0.47609848286457668</v>
      </c>
      <c r="N12" s="14">
        <v>118.49210449491117</v>
      </c>
      <c r="O12" s="14">
        <v>56.413911181458097</v>
      </c>
      <c r="P12" s="15">
        <v>491982616.64838105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27355.583333333332</v>
      </c>
      <c r="D13" s="12">
        <v>15566.877458488338</v>
      </c>
      <c r="E13" s="13">
        <f t="shared" si="3"/>
        <v>0.56905668100010076</v>
      </c>
      <c r="F13" s="14">
        <v>143.70537942417943</v>
      </c>
      <c r="G13" s="14">
        <f t="shared" si="4"/>
        <v>81.776506256983708</v>
      </c>
      <c r="H13" s="15">
        <f t="shared" si="5"/>
        <v>816521071.54194689</v>
      </c>
      <c r="J13" s="11">
        <v>2021</v>
      </c>
      <c r="K13" s="12">
        <v>27355.583333333332</v>
      </c>
      <c r="L13" s="12">
        <v>15566.877458488338</v>
      </c>
      <c r="M13" s="23">
        <v>0.56905668100010076</v>
      </c>
      <c r="N13" s="14">
        <v>143.70537942417943</v>
      </c>
      <c r="O13" s="14">
        <v>81.776506256983708</v>
      </c>
      <c r="P13" s="15">
        <v>816521071.54194689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27786.833333333332</v>
      </c>
      <c r="D14" s="12">
        <v>17101.899308755746</v>
      </c>
      <c r="E14" s="13">
        <f t="shared" si="3"/>
        <v>0.61546773263436805</v>
      </c>
      <c r="F14" s="14">
        <v>174.27586264475428</v>
      </c>
      <c r="G14" s="14">
        <f t="shared" si="4"/>
        <v>107.26117003486547</v>
      </c>
      <c r="H14" s="15">
        <f t="shared" si="5"/>
        <v>1087863613.0374541</v>
      </c>
      <c r="J14" s="11">
        <v>2022</v>
      </c>
      <c r="K14" s="12">
        <v>27786.833333333332</v>
      </c>
      <c r="L14" s="12">
        <v>17101.899308755746</v>
      </c>
      <c r="M14" s="23">
        <v>0.61546773263436805</v>
      </c>
      <c r="N14" s="14">
        <v>174.27586264475428</v>
      </c>
      <c r="O14" s="14">
        <v>107.26117003486547</v>
      </c>
      <c r="P14" s="15">
        <v>1087863613.0374541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27870.806451612905</v>
      </c>
      <c r="D15" s="12">
        <v>16917.991064861897</v>
      </c>
      <c r="E15" s="13">
        <f t="shared" si="3"/>
        <v>0.60701476630156281</v>
      </c>
      <c r="F15" s="14">
        <v>180.24479902742135</v>
      </c>
      <c r="G15" s="14">
        <f t="shared" si="4"/>
        <v>109.41125455870232</v>
      </c>
      <c r="H15" s="15">
        <f t="shared" si="5"/>
        <v>1113023663.2933161</v>
      </c>
      <c r="J15" s="11">
        <v>2023</v>
      </c>
      <c r="K15" s="12">
        <v>27870.806451612905</v>
      </c>
      <c r="L15" s="12">
        <v>16917.991064861897</v>
      </c>
      <c r="M15" s="23">
        <v>0.60701476630156281</v>
      </c>
      <c r="N15" s="14">
        <v>180.24479902742135</v>
      </c>
      <c r="O15" s="14">
        <v>109.41125455870232</v>
      </c>
      <c r="P15" s="15">
        <v>1113023663.2933161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28026.833333333332</v>
      </c>
      <c r="D16" s="12">
        <v>16346.014669738868</v>
      </c>
      <c r="E16" s="13">
        <f t="shared" ref="E16" si="6">D16/C16</f>
        <v>0.58322731203092992</v>
      </c>
      <c r="F16" s="14">
        <v>178.44595726632633</v>
      </c>
      <c r="G16" s="14">
        <f t="shared" ref="G16" si="7">(H16/365)/C16</f>
        <v>104.07455599922571</v>
      </c>
      <c r="H16" s="15">
        <f t="shared" ref="H16" si="8">D16*F16*365</f>
        <v>1064661285.8593024</v>
      </c>
      <c r="J16" s="11">
        <v>2024</v>
      </c>
      <c r="K16" s="12">
        <v>28026.833333333332</v>
      </c>
      <c r="L16" s="12">
        <v>16346.014669738868</v>
      </c>
      <c r="M16" s="23">
        <v>0.58322731203092992</v>
      </c>
      <c r="N16" s="14">
        <v>178.44595726632633</v>
      </c>
      <c r="O16" s="14">
        <v>104.07455599922571</v>
      </c>
      <c r="P16" s="15">
        <v>1064661285.8593024</v>
      </c>
      <c r="Q16" s="12"/>
      <c r="R16" s="25"/>
      <c r="S16" s="25"/>
      <c r="T16" s="24"/>
      <c r="U16" s="26"/>
      <c r="V16" s="26"/>
      <c r="W16" s="27"/>
    </row>
    <row r="17" spans="2:23" s="6" customFormat="1" ht="10.25" customHeight="1" outlineLevel="1" x14ac:dyDescent="0.15">
      <c r="B17" s="11">
        <v>2025</v>
      </c>
      <c r="C17" s="12">
        <v>28269.5</v>
      </c>
      <c r="D17" s="12">
        <v>16460.401759394765</v>
      </c>
      <c r="E17" s="13">
        <f t="shared" ref="E17" si="9">D17/C17</f>
        <v>0.58226716989670013</v>
      </c>
      <c r="F17" s="14">
        <v>181.36629803994236</v>
      </c>
      <c r="G17" s="14">
        <f t="shared" ref="G17" si="10">(H17/365)/C17</f>
        <v>105.60364107435868</v>
      </c>
      <c r="H17" s="15">
        <f t="shared" ref="H17" si="11">D17*F17*365</f>
        <v>1089657177.9433277</v>
      </c>
      <c r="J17" s="11">
        <v>2025</v>
      </c>
      <c r="K17" s="12">
        <v>28269.5</v>
      </c>
      <c r="L17" s="12">
        <v>16460.401759394765</v>
      </c>
      <c r="M17" s="23">
        <v>0.58226716989670013</v>
      </c>
      <c r="N17" s="14">
        <v>181.36629803994236</v>
      </c>
      <c r="O17" s="14">
        <v>105.60364107435868</v>
      </c>
      <c r="P17" s="15">
        <v>1089657177.9433277</v>
      </c>
      <c r="Q17" s="12"/>
      <c r="R17" s="25">
        <f t="shared" ref="R17:W20" si="12">C17-K17</f>
        <v>0</v>
      </c>
      <c r="S17" s="25">
        <f t="shared" si="12"/>
        <v>0</v>
      </c>
      <c r="T17" s="24">
        <f t="shared" si="12"/>
        <v>0</v>
      </c>
      <c r="U17" s="26">
        <f t="shared" si="12"/>
        <v>0</v>
      </c>
      <c r="V17" s="26">
        <f t="shared" si="12"/>
        <v>0</v>
      </c>
      <c r="W17" s="27">
        <f t="shared" si="12"/>
        <v>0</v>
      </c>
    </row>
    <row r="18" spans="2:23" s="6" customFormat="1" outlineLevel="1" x14ac:dyDescent="0.15">
      <c r="B18" s="11">
        <v>2026</v>
      </c>
      <c r="C18" s="12">
        <v>28606.75</v>
      </c>
      <c r="D18" s="12">
        <v>16673.723814482564</v>
      </c>
      <c r="E18" s="13">
        <f t="shared" ref="E18" si="13">D18/C18</f>
        <v>0.58285977311237958</v>
      </c>
      <c r="F18" s="14">
        <v>185.54552124723969</v>
      </c>
      <c r="G18" s="14">
        <f t="shared" ref="G18" si="14">(H18/365)/C18</f>
        <v>108.14702041618433</v>
      </c>
      <c r="H18" s="15">
        <f t="shared" ref="H18" si="15">D18*F18*365</f>
        <v>1129213193.3460987</v>
      </c>
      <c r="J18" s="11">
        <v>2026</v>
      </c>
      <c r="K18" s="12">
        <v>28677</v>
      </c>
      <c r="L18" s="12">
        <v>16645.241371400782</v>
      </c>
      <c r="M18" s="23">
        <v>0.58043872690312037</v>
      </c>
      <c r="N18" s="14">
        <v>183.75143702118206</v>
      </c>
      <c r="O18" s="14">
        <v>106.6564501711938</v>
      </c>
      <c r="P18" s="15">
        <v>1116384262.8691535</v>
      </c>
      <c r="Q18" s="12"/>
      <c r="R18" s="25">
        <f t="shared" si="12"/>
        <v>-70.25</v>
      </c>
      <c r="S18" s="25">
        <f t="shared" si="12"/>
        <v>28.482443081782549</v>
      </c>
      <c r="T18" s="24">
        <f t="shared" si="12"/>
        <v>2.4210462092592033E-3</v>
      </c>
      <c r="U18" s="26">
        <f t="shared" si="12"/>
        <v>1.7940842260576346</v>
      </c>
      <c r="V18" s="26">
        <f t="shared" si="12"/>
        <v>1.4905702449905363</v>
      </c>
      <c r="W18" s="27">
        <f t="shared" si="12"/>
        <v>12828930.476945162</v>
      </c>
    </row>
    <row r="19" spans="2:23" s="6" customFormat="1" outlineLevel="1" x14ac:dyDescent="0.15">
      <c r="B19" s="11">
        <v>2027</v>
      </c>
      <c r="C19" s="12">
        <v>28941.283333333329</v>
      </c>
      <c r="D19" s="12">
        <v>16922.332203108101</v>
      </c>
      <c r="E19" s="13">
        <f t="shared" ref="E19" si="16">D19/C19</f>
        <v>0.58471257159552714</v>
      </c>
      <c r="F19" s="14">
        <v>187.72979532906876</v>
      </c>
      <c r="G19" s="14">
        <f t="shared" ref="G19" si="17">(H19/365)/C19</f>
        <v>109.76797139196177</v>
      </c>
      <c r="H19" s="15">
        <f t="shared" ref="H19" si="18">D19*F19*365</f>
        <v>1159541475.7576973</v>
      </c>
      <c r="J19" s="11">
        <v>2027</v>
      </c>
      <c r="K19" s="12">
        <v>29030.849999999995</v>
      </c>
      <c r="L19" s="12">
        <v>16942.324557873904</v>
      </c>
      <c r="M19" s="23">
        <v>0.58359726146061541</v>
      </c>
      <c r="N19" s="14">
        <v>186.16100021500796</v>
      </c>
      <c r="O19" s="14">
        <v>108.64304991624768</v>
      </c>
      <c r="P19" s="15">
        <v>1151210031.2663009</v>
      </c>
      <c r="Q19" s="12"/>
      <c r="R19" s="25">
        <f t="shared" si="12"/>
        <v>-89.566666666665697</v>
      </c>
      <c r="S19" s="25">
        <f t="shared" si="12"/>
        <v>-19.992354765803611</v>
      </c>
      <c r="T19" s="24">
        <f t="shared" si="12"/>
        <v>1.1153101349117289E-3</v>
      </c>
      <c r="U19" s="26">
        <f t="shared" si="12"/>
        <v>1.568795114060805</v>
      </c>
      <c r="V19" s="26">
        <f t="shared" si="12"/>
        <v>1.1249214757140891</v>
      </c>
      <c r="W19" s="27">
        <f t="shared" si="12"/>
        <v>8331444.4913964272</v>
      </c>
    </row>
    <row r="20" spans="2:23" s="6" customFormat="1" outlineLevel="1" x14ac:dyDescent="0.15">
      <c r="B20" s="11">
        <v>2028</v>
      </c>
      <c r="C20" s="12">
        <v>29261.966666666664</v>
      </c>
      <c r="D20" s="12">
        <v>17219.018801035629</v>
      </c>
      <c r="E20" s="13">
        <f t="shared" ref="E20" si="19">D20/C20</f>
        <v>0.58844366126116943</v>
      </c>
      <c r="F20" s="14">
        <v>190.95486287015868</v>
      </c>
      <c r="G20" s="14">
        <f t="shared" ref="G20" si="20">(H20/365)/C20</f>
        <v>112.36617864294072</v>
      </c>
      <c r="H20" s="15">
        <f t="shared" ref="H20" si="21">D20*F20*365</f>
        <v>1200140211.4773116</v>
      </c>
      <c r="J20" s="11">
        <v>2028</v>
      </c>
      <c r="K20" s="12">
        <v>29293.52205491046</v>
      </c>
      <c r="L20" s="12">
        <v>17255.534609327471</v>
      </c>
      <c r="M20" s="23">
        <v>0.58905633050823036</v>
      </c>
      <c r="N20" s="14">
        <v>189.45973676551782</v>
      </c>
      <c r="O20" s="14">
        <v>111.60245731815117</v>
      </c>
      <c r="P20" s="15">
        <v>1193268601.3634846</v>
      </c>
      <c r="Q20" s="12"/>
      <c r="R20" s="25">
        <f t="shared" si="12"/>
        <v>-31.555388243796187</v>
      </c>
      <c r="S20" s="25">
        <f t="shared" si="12"/>
        <v>-36.515808291842404</v>
      </c>
      <c r="T20" s="24">
        <f t="shared" si="12"/>
        <v>-6.1266924706093739E-4</v>
      </c>
      <c r="U20" s="26">
        <f t="shared" si="12"/>
        <v>1.4951261046408604</v>
      </c>
      <c r="V20" s="26">
        <f t="shared" si="12"/>
        <v>0.76372132478955734</v>
      </c>
      <c r="W20" s="27">
        <f t="shared" si="12"/>
        <v>6871610.1138269901</v>
      </c>
    </row>
    <row r="21" spans="2:23" s="6" customFormat="1" outlineLevel="1" x14ac:dyDescent="0.15">
      <c r="B21" s="11">
        <v>2029</v>
      </c>
      <c r="C21" s="12">
        <v>29430.425082969534</v>
      </c>
      <c r="D21" s="12">
        <v>17520.174439380997</v>
      </c>
      <c r="E21" s="13">
        <f t="shared" ref="E21" si="22">D21/C21</f>
        <v>0.5953082359493127</v>
      </c>
      <c r="F21" s="14">
        <v>194.31764116664579</v>
      </c>
      <c r="G21" s="14">
        <f t="shared" ref="G21" si="23">(H21/365)/C21</f>
        <v>115.67889217674744</v>
      </c>
      <c r="H21" s="15">
        <f t="shared" ref="H21" si="24">D21*F21*365</f>
        <v>1242634824.0093668</v>
      </c>
      <c r="J21" s="11">
        <v>2029</v>
      </c>
      <c r="K21" s="12">
        <v>29462.162132644018</v>
      </c>
      <c r="L21" s="12">
        <v>17538.47894455315</v>
      </c>
      <c r="M21" s="23">
        <v>0.59528825025100751</v>
      </c>
      <c r="N21" s="14">
        <v>192.88101335951723</v>
      </c>
      <c r="O21" s="14">
        <v>114.81980094942821</v>
      </c>
      <c r="P21" s="15">
        <v>1234736450.937638</v>
      </c>
      <c r="Q21" s="12"/>
      <c r="R21" s="25">
        <f t="shared" ref="R21" si="25">C21-K21</f>
        <v>-31.737049674484297</v>
      </c>
      <c r="S21" s="25">
        <f t="shared" ref="S21" si="26">D21-L21</f>
        <v>-18.304505172152858</v>
      </c>
      <c r="T21" s="24">
        <f t="shared" ref="T21" si="27">E21-M21</f>
        <v>1.998569830519159E-5</v>
      </c>
      <c r="U21" s="26">
        <f t="shared" ref="U21" si="28">F21-N21</f>
        <v>1.4366278071285592</v>
      </c>
      <c r="V21" s="26">
        <f t="shared" ref="V21" si="29">G21-O21</f>
        <v>0.85909122731922594</v>
      </c>
      <c r="W21" s="27">
        <f t="shared" ref="W21" si="30">H21-P21</f>
        <v>7898373.0717287064</v>
      </c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f t="shared" ref="C24:H33" si="31">C6/C5-1</f>
        <v>2.0055205641011931E-2</v>
      </c>
      <c r="D24" s="13">
        <f t="shared" si="31"/>
        <v>-5.3341841043138105E-2</v>
      </c>
      <c r="E24" s="13">
        <f t="shared" si="31"/>
        <v>-7.1953994527214626E-2</v>
      </c>
      <c r="F24" s="13" t="e">
        <f t="shared" si="31"/>
        <v>#DIV/0!</v>
      </c>
      <c r="G24" s="13" t="e">
        <f t="shared" si="31"/>
        <v>#DIV/0!</v>
      </c>
      <c r="H24" s="13" t="e">
        <f t="shared" si="31"/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f t="shared" si="31"/>
        <v>1.6221247379435644E-2</v>
      </c>
      <c r="D25" s="13">
        <f t="shared" si="31"/>
        <v>3.3602098968313898E-2</v>
      </c>
      <c r="E25" s="13">
        <f t="shared" si="31"/>
        <v>1.7103412897239378E-2</v>
      </c>
      <c r="F25" s="13">
        <f t="shared" si="31"/>
        <v>4.9496756624342719E-2</v>
      </c>
      <c r="G25" s="13">
        <f t="shared" si="31"/>
        <v>6.7446732987202163E-2</v>
      </c>
      <c r="H25" s="13">
        <f t="shared" si="31"/>
        <v>8.47620505073583E-2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f t="shared" si="31"/>
        <v>-8.0197409006788067E-4</v>
      </c>
      <c r="D26" s="13">
        <f t="shared" si="31"/>
        <v>2.9474577269667179E-2</v>
      </c>
      <c r="E26" s="13">
        <f t="shared" si="31"/>
        <v>3.0300851857832045E-2</v>
      </c>
      <c r="F26" s="13">
        <f t="shared" si="31"/>
        <v>6.9202149942219293E-2</v>
      </c>
      <c r="G26" s="13">
        <f t="shared" si="31"/>
        <v>0.10159988589369418</v>
      </c>
      <c r="H26" s="13">
        <f t="shared" si="31"/>
        <v>0.10071643132758568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f t="shared" si="31"/>
        <v>9.9778422615985907E-3</v>
      </c>
      <c r="D27" s="13">
        <f t="shared" si="31"/>
        <v>1.9862527877383185E-2</v>
      </c>
      <c r="E27" s="13">
        <f t="shared" si="31"/>
        <v>9.7870321527551152E-3</v>
      </c>
      <c r="F27" s="13">
        <f t="shared" si="31"/>
        <v>2.1854632335476687E-2</v>
      </c>
      <c r="G27" s="13">
        <f t="shared" si="31"/>
        <v>3.1855556477585756E-2</v>
      </c>
      <c r="H27" s="13">
        <f t="shared" si="31"/>
        <v>4.2151248456873125E-2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f t="shared" si="31"/>
        <v>1.3115756227606967E-2</v>
      </c>
      <c r="D28" s="13">
        <f t="shared" si="31"/>
        <v>3.3800044834369825E-2</v>
      </c>
      <c r="E28" s="13">
        <f t="shared" si="31"/>
        <v>2.0416510630317353E-2</v>
      </c>
      <c r="F28" s="13">
        <f t="shared" si="31"/>
        <v>4.1304974509224435E-2</v>
      </c>
      <c r="G28" s="13">
        <f t="shared" si="31"/>
        <v>6.2564788590694365E-2</v>
      </c>
      <c r="H28" s="13">
        <f t="shared" si="31"/>
        <v>7.650112933388864E-2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f>B11</f>
        <v>2019</v>
      </c>
      <c r="C29" s="13">
        <f t="shared" si="31"/>
        <v>6.1863722147916578E-2</v>
      </c>
      <c r="D29" s="13">
        <f t="shared" si="31"/>
        <v>5.658075058914469E-2</v>
      </c>
      <c r="E29" s="13">
        <f t="shared" si="31"/>
        <v>-4.9751879159083412E-3</v>
      </c>
      <c r="F29" s="13">
        <f t="shared" si="31"/>
        <v>-1.3721585915914325E-2</v>
      </c>
      <c r="G29" s="13">
        <f t="shared" si="31"/>
        <v>-1.8628506363386754E-2</v>
      </c>
      <c r="H29" s="13">
        <f t="shared" si="31"/>
        <v>4.2082787042834413E-2</v>
      </c>
      <c r="J29" s="11">
        <f>J11</f>
        <v>2019</v>
      </c>
      <c r="K29" s="13">
        <f t="shared" ref="K29:P39" si="32">K11/K10-1</f>
        <v>6.1863722147916578E-2</v>
      </c>
      <c r="L29" s="13">
        <f t="shared" si="32"/>
        <v>5.658075058914469E-2</v>
      </c>
      <c r="M29" s="13">
        <f t="shared" si="32"/>
        <v>-4.9751879159083412E-3</v>
      </c>
      <c r="N29" s="13">
        <f t="shared" si="32"/>
        <v>-1.3721585915914325E-2</v>
      </c>
      <c r="O29" s="13">
        <f t="shared" si="32"/>
        <v>-1.8628506363386754E-2</v>
      </c>
      <c r="P29" s="13">
        <f t="shared" si="32"/>
        <v>4.2082787042834413E-2</v>
      </c>
      <c r="Q29" s="13"/>
      <c r="R29" s="22">
        <f t="shared" ref="R29:R38" si="33">C29-K29</f>
        <v>0</v>
      </c>
      <c r="S29" s="22">
        <f t="shared" ref="S29:S38" si="34">D29-L29</f>
        <v>0</v>
      </c>
      <c r="T29" s="22">
        <f t="shared" ref="T29:T38" si="35">E29-M29</f>
        <v>0</v>
      </c>
      <c r="U29" s="22">
        <f t="shared" ref="U29:U38" si="36">F29-N29</f>
        <v>0</v>
      </c>
      <c r="V29" s="22">
        <f t="shared" ref="V29:V38" si="37">G29-O29</f>
        <v>0</v>
      </c>
      <c r="W29" s="22">
        <f t="shared" ref="W29:W38" si="38">H29-P29</f>
        <v>0</v>
      </c>
    </row>
    <row r="30" spans="2:23" s="6" customFormat="1" x14ac:dyDescent="0.15">
      <c r="B30" s="11">
        <f>B12</f>
        <v>2020</v>
      </c>
      <c r="C30" s="13">
        <f t="shared" si="31"/>
        <v>-9.4882123419999242E-2</v>
      </c>
      <c r="D30" s="13">
        <f t="shared" si="31"/>
        <v>-0.29981707672705915</v>
      </c>
      <c r="E30" s="13">
        <f t="shared" si="31"/>
        <v>-0.22641797119443619</v>
      </c>
      <c r="F30" s="13">
        <f t="shared" si="31"/>
        <v>-0.11815411709144885</v>
      </c>
      <c r="G30" s="13">
        <f t="shared" si="31"/>
        <v>-0.31781987280576929</v>
      </c>
      <c r="H30" s="13">
        <f t="shared" si="31"/>
        <v>-0.38254657182888308</v>
      </c>
      <c r="J30" s="11">
        <f>J12</f>
        <v>2020</v>
      </c>
      <c r="K30" s="13">
        <f t="shared" si="32"/>
        <v>-9.4882123419999242E-2</v>
      </c>
      <c r="L30" s="13">
        <f t="shared" si="32"/>
        <v>-0.29981707672705915</v>
      </c>
      <c r="M30" s="13">
        <f t="shared" si="32"/>
        <v>-0.22641797119443619</v>
      </c>
      <c r="N30" s="13">
        <f t="shared" si="32"/>
        <v>-0.11815411709144885</v>
      </c>
      <c r="O30" s="13">
        <f t="shared" si="32"/>
        <v>-0.31781987280576929</v>
      </c>
      <c r="P30" s="13">
        <f t="shared" si="32"/>
        <v>-0.38254657182888308</v>
      </c>
      <c r="Q30" s="13"/>
      <c r="R30" s="22">
        <f t="shared" si="33"/>
        <v>0</v>
      </c>
      <c r="S30" s="22">
        <f t="shared" si="34"/>
        <v>0</v>
      </c>
      <c r="T30" s="22">
        <f t="shared" si="35"/>
        <v>0</v>
      </c>
      <c r="U30" s="22">
        <f t="shared" si="36"/>
        <v>0</v>
      </c>
      <c r="V30" s="22">
        <f t="shared" si="37"/>
        <v>0</v>
      </c>
      <c r="W30" s="22">
        <f t="shared" si="38"/>
        <v>0</v>
      </c>
    </row>
    <row r="31" spans="2:23" s="6" customFormat="1" x14ac:dyDescent="0.15">
      <c r="B31" s="11">
        <f>B13</f>
        <v>2021</v>
      </c>
      <c r="C31" s="13">
        <f t="shared" si="31"/>
        <v>0.1449204090458851</v>
      </c>
      <c r="D31" s="13">
        <f t="shared" si="31"/>
        <v>0.3684660452199997</v>
      </c>
      <c r="E31" s="13">
        <f t="shared" si="31"/>
        <v>0.19524993563561832</v>
      </c>
      <c r="F31" s="13">
        <f t="shared" si="31"/>
        <v>0.21278443012505588</v>
      </c>
      <c r="G31" s="13">
        <f t="shared" si="31"/>
        <v>0.44958051204685279</v>
      </c>
      <c r="H31" s="13">
        <f t="shared" si="31"/>
        <v>0.65965431279762621</v>
      </c>
      <c r="J31" s="11">
        <f>J13</f>
        <v>2021</v>
      </c>
      <c r="K31" s="13">
        <f t="shared" si="32"/>
        <v>0.1449204090458851</v>
      </c>
      <c r="L31" s="13">
        <f t="shared" si="32"/>
        <v>0.3684660452199997</v>
      </c>
      <c r="M31" s="13">
        <f t="shared" si="32"/>
        <v>0.19524993563561832</v>
      </c>
      <c r="N31" s="13">
        <f t="shared" si="32"/>
        <v>0.21278443012505588</v>
      </c>
      <c r="O31" s="13">
        <f t="shared" si="32"/>
        <v>0.44958051204685279</v>
      </c>
      <c r="P31" s="13">
        <f t="shared" si="32"/>
        <v>0.65965431279762621</v>
      </c>
      <c r="Q31" s="13"/>
      <c r="R31" s="22">
        <f t="shared" si="33"/>
        <v>0</v>
      </c>
      <c r="S31" s="22">
        <f t="shared" si="34"/>
        <v>0</v>
      </c>
      <c r="T31" s="22">
        <f t="shared" si="35"/>
        <v>0</v>
      </c>
      <c r="U31" s="22">
        <f t="shared" si="36"/>
        <v>0</v>
      </c>
      <c r="V31" s="22">
        <f t="shared" si="37"/>
        <v>0</v>
      </c>
      <c r="W31" s="22">
        <f t="shared" si="38"/>
        <v>0</v>
      </c>
    </row>
    <row r="32" spans="2:23" s="6" customFormat="1" outlineLevel="1" x14ac:dyDescent="0.15">
      <c r="B32" s="11">
        <f>B14</f>
        <v>2022</v>
      </c>
      <c r="C32" s="13">
        <f t="shared" si="31"/>
        <v>1.5764606250399771E-2</v>
      </c>
      <c r="D32" s="13">
        <f t="shared" si="31"/>
        <v>9.8608205425962936E-2</v>
      </c>
      <c r="E32" s="13">
        <f t="shared" si="31"/>
        <v>8.1557871445602226E-2</v>
      </c>
      <c r="F32" s="13">
        <f t="shared" si="31"/>
        <v>0.2127302634255539</v>
      </c>
      <c r="G32" s="13">
        <f t="shared" si="31"/>
        <v>0.31163796234820662</v>
      </c>
      <c r="H32" s="13">
        <f t="shared" si="31"/>
        <v>0.33231541836770306</v>
      </c>
      <c r="J32" s="11">
        <f>J14</f>
        <v>2022</v>
      </c>
      <c r="K32" s="13">
        <f t="shared" si="32"/>
        <v>1.5764606250399771E-2</v>
      </c>
      <c r="L32" s="13">
        <f t="shared" si="32"/>
        <v>9.8608205425962936E-2</v>
      </c>
      <c r="M32" s="13">
        <f t="shared" si="32"/>
        <v>8.1557871445602226E-2</v>
      </c>
      <c r="N32" s="13">
        <f t="shared" si="32"/>
        <v>0.2127302634255539</v>
      </c>
      <c r="O32" s="13">
        <f t="shared" si="32"/>
        <v>0.31163796234820662</v>
      </c>
      <c r="P32" s="13">
        <f t="shared" si="32"/>
        <v>0.33231541836770306</v>
      </c>
      <c r="Q32" s="13"/>
      <c r="R32" s="22">
        <f t="shared" si="33"/>
        <v>0</v>
      </c>
      <c r="S32" s="22">
        <f t="shared" si="34"/>
        <v>0</v>
      </c>
      <c r="T32" s="22">
        <f t="shared" si="35"/>
        <v>0</v>
      </c>
      <c r="U32" s="22">
        <f t="shared" si="36"/>
        <v>0</v>
      </c>
      <c r="V32" s="22">
        <f t="shared" si="37"/>
        <v>0</v>
      </c>
      <c r="W32" s="22">
        <f t="shared" si="38"/>
        <v>0</v>
      </c>
    </row>
    <row r="33" spans="2:23" s="6" customFormat="1" outlineLevel="1" x14ac:dyDescent="0.15">
      <c r="B33" s="11">
        <v>2023</v>
      </c>
      <c r="C33" s="13">
        <f t="shared" si="31"/>
        <v>3.0220470707196245E-3</v>
      </c>
      <c r="D33" s="13">
        <f t="shared" si="31"/>
        <v>-1.0753673646043072E-2</v>
      </c>
      <c r="E33" s="13">
        <f t="shared" si="31"/>
        <v>-1.373421527173202E-2</v>
      </c>
      <c r="F33" s="13">
        <f t="shared" si="31"/>
        <v>3.424993164334067E-2</v>
      </c>
      <c r="G33" s="13">
        <f t="shared" si="31"/>
        <v>2.0045320437376946E-2</v>
      </c>
      <c r="H33" s="13">
        <f t="shared" si="31"/>
        <v>2.3127945410005957E-2</v>
      </c>
      <c r="J33" s="11">
        <v>2023</v>
      </c>
      <c r="K33" s="13">
        <f t="shared" si="32"/>
        <v>3.0220470707196245E-3</v>
      </c>
      <c r="L33" s="13">
        <f t="shared" si="32"/>
        <v>-1.0753673646043072E-2</v>
      </c>
      <c r="M33" s="13">
        <f t="shared" si="32"/>
        <v>-1.373421527173202E-2</v>
      </c>
      <c r="N33" s="13">
        <f t="shared" si="32"/>
        <v>3.424993164334067E-2</v>
      </c>
      <c r="O33" s="13">
        <f t="shared" si="32"/>
        <v>2.0045320437376946E-2</v>
      </c>
      <c r="P33" s="13">
        <f t="shared" si="32"/>
        <v>2.3127945410005957E-2</v>
      </c>
      <c r="Q33" s="13"/>
      <c r="R33" s="22">
        <f t="shared" si="33"/>
        <v>0</v>
      </c>
      <c r="S33" s="22">
        <f t="shared" si="34"/>
        <v>0</v>
      </c>
      <c r="T33" s="22">
        <f t="shared" si="35"/>
        <v>0</v>
      </c>
      <c r="U33" s="22">
        <f t="shared" si="36"/>
        <v>0</v>
      </c>
      <c r="V33" s="22">
        <f t="shared" si="37"/>
        <v>0</v>
      </c>
      <c r="W33" s="22">
        <f t="shared" si="38"/>
        <v>0</v>
      </c>
    </row>
    <row r="34" spans="2:23" s="6" customFormat="1" outlineLevel="1" x14ac:dyDescent="0.15">
      <c r="B34" s="11">
        <v>2024</v>
      </c>
      <c r="C34" s="13">
        <f t="shared" ref="C34:H39" si="39">C16/C15-1</f>
        <v>5.5982191254964064E-3</v>
      </c>
      <c r="D34" s="13">
        <f t="shared" si="39"/>
        <v>-3.3808765646590522E-2</v>
      </c>
      <c r="E34" s="13">
        <f t="shared" si="39"/>
        <v>-3.9187603978014907E-2</v>
      </c>
      <c r="F34" s="13">
        <f t="shared" si="39"/>
        <v>-9.9799926034002118E-3</v>
      </c>
      <c r="G34" s="13">
        <f t="shared" si="39"/>
        <v>-4.8776504583569302E-2</v>
      </c>
      <c r="H34" s="13">
        <f t="shared" si="39"/>
        <v>-4.3451347018907627E-2</v>
      </c>
      <c r="J34" s="11">
        <v>2024</v>
      </c>
      <c r="K34" s="13">
        <f t="shared" si="32"/>
        <v>5.5982191254964064E-3</v>
      </c>
      <c r="L34" s="13">
        <f t="shared" si="32"/>
        <v>-3.3808765646590522E-2</v>
      </c>
      <c r="M34" s="13">
        <f t="shared" si="32"/>
        <v>-3.9187603978014907E-2</v>
      </c>
      <c r="N34" s="13">
        <f t="shared" si="32"/>
        <v>-9.9799926034002118E-3</v>
      </c>
      <c r="O34" s="13">
        <f t="shared" si="32"/>
        <v>-4.8776504583569302E-2</v>
      </c>
      <c r="P34" s="13">
        <f t="shared" si="32"/>
        <v>-4.3451347018907627E-2</v>
      </c>
      <c r="Q34" s="13"/>
      <c r="R34" s="22">
        <f t="shared" si="33"/>
        <v>0</v>
      </c>
      <c r="S34" s="22">
        <f t="shared" si="34"/>
        <v>0</v>
      </c>
      <c r="T34" s="22">
        <f t="shared" si="35"/>
        <v>0</v>
      </c>
      <c r="U34" s="22">
        <f t="shared" si="36"/>
        <v>0</v>
      </c>
      <c r="V34" s="22">
        <f t="shared" si="37"/>
        <v>0</v>
      </c>
      <c r="W34" s="22">
        <f t="shared" si="38"/>
        <v>0</v>
      </c>
    </row>
    <row r="35" spans="2:23" s="6" customFormat="1" outlineLevel="1" x14ac:dyDescent="0.15">
      <c r="B35" s="11">
        <v>2025</v>
      </c>
      <c r="C35" s="13">
        <f t="shared" si="39"/>
        <v>8.6583690629813415E-3</v>
      </c>
      <c r="D35" s="13">
        <f t="shared" si="39"/>
        <v>6.9978580080232167E-3</v>
      </c>
      <c r="E35" s="13">
        <f t="shared" si="39"/>
        <v>-1.6462571529552994E-3</v>
      </c>
      <c r="F35" s="13">
        <f t="shared" si="39"/>
        <v>1.6365407310727109E-2</v>
      </c>
      <c r="G35" s="13">
        <f t="shared" si="39"/>
        <v>1.4692208488925385E-2</v>
      </c>
      <c r="H35" s="13">
        <f t="shared" si="39"/>
        <v>2.3477788115354281E-2</v>
      </c>
      <c r="J35" s="11">
        <v>2025</v>
      </c>
      <c r="K35" s="13">
        <f t="shared" si="32"/>
        <v>8.6583690629813415E-3</v>
      </c>
      <c r="L35" s="13">
        <f t="shared" si="32"/>
        <v>6.9978580080232167E-3</v>
      </c>
      <c r="M35" s="13">
        <f t="shared" si="32"/>
        <v>-1.6462571529552994E-3</v>
      </c>
      <c r="N35" s="13">
        <f t="shared" si="32"/>
        <v>1.6365407310727109E-2</v>
      </c>
      <c r="O35" s="13">
        <f t="shared" si="32"/>
        <v>1.4692208488925385E-2</v>
      </c>
      <c r="P35" s="13">
        <f t="shared" si="32"/>
        <v>2.3477788115354281E-2</v>
      </c>
      <c r="Q35" s="13"/>
      <c r="R35" s="22">
        <f t="shared" si="33"/>
        <v>0</v>
      </c>
      <c r="S35" s="22">
        <f t="shared" si="34"/>
        <v>0</v>
      </c>
      <c r="T35" s="22">
        <f t="shared" si="35"/>
        <v>0</v>
      </c>
      <c r="U35" s="22">
        <f t="shared" si="36"/>
        <v>0</v>
      </c>
      <c r="V35" s="22">
        <f t="shared" si="37"/>
        <v>0</v>
      </c>
      <c r="W35" s="22">
        <f t="shared" si="38"/>
        <v>0</v>
      </c>
    </row>
    <row r="36" spans="2:23" s="6" customFormat="1" outlineLevel="1" x14ac:dyDescent="0.15">
      <c r="B36" s="11">
        <v>2026</v>
      </c>
      <c r="C36" s="13">
        <f t="shared" si="39"/>
        <v>1.1929818355471467E-2</v>
      </c>
      <c r="D36" s="13">
        <f t="shared" si="39"/>
        <v>1.2959711324545653E-2</v>
      </c>
      <c r="E36" s="13">
        <f t="shared" si="39"/>
        <v>1.0177513799800586E-3</v>
      </c>
      <c r="F36" s="13">
        <f t="shared" si="39"/>
        <v>2.3042997803136123E-2</v>
      </c>
      <c r="G36" s="13">
        <f t="shared" si="39"/>
        <v>2.4084201225929247E-2</v>
      </c>
      <c r="H36" s="13">
        <f t="shared" si="39"/>
        <v>3.6301339727262683E-2</v>
      </c>
      <c r="J36" s="11">
        <v>2026</v>
      </c>
      <c r="K36" s="13">
        <f t="shared" si="32"/>
        <v>1.4414828702311588E-2</v>
      </c>
      <c r="L36" s="13">
        <f t="shared" si="32"/>
        <v>1.1229349970180325E-2</v>
      </c>
      <c r="M36" s="13">
        <f t="shared" si="32"/>
        <v>-3.1402130982314258E-3</v>
      </c>
      <c r="N36" s="13">
        <f t="shared" si="32"/>
        <v>1.3150949250309019E-2</v>
      </c>
      <c r="O36" s="13">
        <f t="shared" si="32"/>
        <v>9.9694393689873095E-3</v>
      </c>
      <c r="P36" s="13">
        <f t="shared" si="32"/>
        <v>2.4527975832061122E-2</v>
      </c>
      <c r="Q36" s="13"/>
      <c r="R36" s="22">
        <f t="shared" si="33"/>
        <v>-2.4850103468401219E-3</v>
      </c>
      <c r="S36" s="22">
        <f t="shared" si="34"/>
        <v>1.7303613543653285E-3</v>
      </c>
      <c r="T36" s="22">
        <f t="shared" si="35"/>
        <v>4.1579644782114844E-3</v>
      </c>
      <c r="U36" s="22">
        <f t="shared" si="36"/>
        <v>9.892048552827104E-3</v>
      </c>
      <c r="V36" s="22">
        <f t="shared" si="37"/>
        <v>1.4114761856941938E-2</v>
      </c>
      <c r="W36" s="22">
        <f t="shared" si="38"/>
        <v>1.1773363895201561E-2</v>
      </c>
    </row>
    <row r="37" spans="2:23" s="6" customFormat="1" outlineLevel="1" x14ac:dyDescent="0.15">
      <c r="B37" s="11">
        <v>2027</v>
      </c>
      <c r="C37" s="13">
        <f t="shared" si="39"/>
        <v>1.1694209699925073E-2</v>
      </c>
      <c r="D37" s="13">
        <f t="shared" si="39"/>
        <v>1.491018991268156E-2</v>
      </c>
      <c r="E37" s="13">
        <f t="shared" si="39"/>
        <v>3.1788065819913225E-3</v>
      </c>
      <c r="F37" s="13">
        <f t="shared" si="39"/>
        <v>1.1772173573074474E-2</v>
      </c>
      <c r="G37" s="13">
        <f t="shared" si="39"/>
        <v>1.4988401617904046E-2</v>
      </c>
      <c r="H37" s="13">
        <f t="shared" si="39"/>
        <v>2.6857888829415311E-2</v>
      </c>
      <c r="J37" s="11">
        <v>2027</v>
      </c>
      <c r="K37" s="13">
        <f t="shared" si="32"/>
        <v>1.233915681556641E-2</v>
      </c>
      <c r="L37" s="13">
        <f t="shared" si="32"/>
        <v>1.7847935025055328E-2</v>
      </c>
      <c r="M37" s="13">
        <f t="shared" si="32"/>
        <v>5.4416330460014262E-3</v>
      </c>
      <c r="N37" s="13">
        <f t="shared" si="32"/>
        <v>1.3113166530219544E-2</v>
      </c>
      <c r="O37" s="13">
        <f t="shared" si="32"/>
        <v>1.8626156616549761E-2</v>
      </c>
      <c r="P37" s="13">
        <f t="shared" si="32"/>
        <v>3.1195144499478911E-2</v>
      </c>
      <c r="Q37" s="13"/>
      <c r="R37" s="22">
        <f t="shared" si="33"/>
        <v>-6.4494711564133667E-4</v>
      </c>
      <c r="S37" s="22">
        <f t="shared" si="34"/>
        <v>-2.9377451123737686E-3</v>
      </c>
      <c r="T37" s="22">
        <f t="shared" si="35"/>
        <v>-2.2628264640101037E-3</v>
      </c>
      <c r="U37" s="22">
        <f t="shared" si="36"/>
        <v>-1.3409929571450707E-3</v>
      </c>
      <c r="V37" s="22">
        <f t="shared" si="37"/>
        <v>-3.6377549986457147E-3</v>
      </c>
      <c r="W37" s="22">
        <f t="shared" si="38"/>
        <v>-4.3372556700636E-3</v>
      </c>
    </row>
    <row r="38" spans="2:23" s="6" customFormat="1" outlineLevel="1" x14ac:dyDescent="0.15">
      <c r="B38" s="11">
        <v>2028</v>
      </c>
      <c r="C38" s="13">
        <f t="shared" si="39"/>
        <v>1.1080480766517464E-2</v>
      </c>
      <c r="D38" s="13">
        <f t="shared" si="39"/>
        <v>1.753225231407729E-2</v>
      </c>
      <c r="E38" s="13">
        <f t="shared" si="39"/>
        <v>6.3810662655348072E-3</v>
      </c>
      <c r="F38" s="13">
        <f t="shared" si="39"/>
        <v>1.7179305690057101E-2</v>
      </c>
      <c r="G38" s="13">
        <f t="shared" si="39"/>
        <v>2.366999424359606E-2</v>
      </c>
      <c r="H38" s="13">
        <f t="shared" si="39"/>
        <v>3.5012749926073283E-2</v>
      </c>
      <c r="J38" s="11">
        <v>2028</v>
      </c>
      <c r="K38" s="13">
        <f t="shared" si="32"/>
        <v>9.0480318320154129E-3</v>
      </c>
      <c r="L38" s="13">
        <f t="shared" si="32"/>
        <v>1.8486840479513988E-2</v>
      </c>
      <c r="M38" s="13">
        <f t="shared" si="32"/>
        <v>9.3541718032605914E-3</v>
      </c>
      <c r="N38" s="13">
        <f t="shared" si="32"/>
        <v>1.7719804613748114E-2</v>
      </c>
      <c r="O38" s="13">
        <f t="shared" si="32"/>
        <v>2.7239730513685778E-2</v>
      </c>
      <c r="P38" s="13">
        <f t="shared" si="32"/>
        <v>3.6534228294484494E-2</v>
      </c>
      <c r="Q38" s="13"/>
      <c r="R38" s="22">
        <f t="shared" si="33"/>
        <v>2.0324489345020513E-3</v>
      </c>
      <c r="S38" s="22">
        <f t="shared" si="34"/>
        <v>-9.5458816543669833E-4</v>
      </c>
      <c r="T38" s="22">
        <f t="shared" si="35"/>
        <v>-2.9731055377257842E-3</v>
      </c>
      <c r="U38" s="22">
        <f t="shared" si="36"/>
        <v>-5.4049892369101293E-4</v>
      </c>
      <c r="V38" s="22">
        <f t="shared" si="37"/>
        <v>-3.5697362700897184E-3</v>
      </c>
      <c r="W38" s="22">
        <f t="shared" si="38"/>
        <v>-1.521478368411211E-3</v>
      </c>
    </row>
    <row r="39" spans="2:23" s="6" customFormat="1" outlineLevel="1" x14ac:dyDescent="0.15">
      <c r="B39" s="11">
        <v>2029</v>
      </c>
      <c r="C39" s="13">
        <f t="shared" si="39"/>
        <v>5.7569068484644159E-3</v>
      </c>
      <c r="D39" s="13">
        <f t="shared" si="39"/>
        <v>1.7489709595256198E-2</v>
      </c>
      <c r="E39" s="13">
        <f t="shared" si="39"/>
        <v>1.1665644716829737E-2</v>
      </c>
      <c r="F39" s="13">
        <f t="shared" si="39"/>
        <v>1.7610330765829518E-2</v>
      </c>
      <c r="G39" s="13">
        <f t="shared" si="39"/>
        <v>2.9481411344719044E-2</v>
      </c>
      <c r="H39" s="13">
        <f t="shared" si="39"/>
        <v>3.5408039932056212E-2</v>
      </c>
      <c r="J39" s="11">
        <v>2029</v>
      </c>
      <c r="K39" s="13">
        <f t="shared" si="32"/>
        <v>5.7569068484644159E-3</v>
      </c>
      <c r="L39" s="13">
        <f t="shared" si="32"/>
        <v>1.6397309131919613E-2</v>
      </c>
      <c r="M39" s="13">
        <f t="shared" si="32"/>
        <v>1.0579497104123092E-2</v>
      </c>
      <c r="N39" s="13">
        <f t="shared" si="32"/>
        <v>1.8058066861106781E-2</v>
      </c>
      <c r="O39" s="13">
        <f t="shared" si="32"/>
        <v>2.8828609231293045E-2</v>
      </c>
      <c r="P39" s="13">
        <f t="shared" si="32"/>
        <v>3.4751479697672671E-2</v>
      </c>
      <c r="Q39" s="13"/>
      <c r="R39" s="22">
        <f t="shared" ref="R39" si="40">C39-K39</f>
        <v>0</v>
      </c>
      <c r="S39" s="22">
        <f t="shared" ref="S39" si="41">D39-L39</f>
        <v>1.0924004633365847E-3</v>
      </c>
      <c r="T39" s="22">
        <f t="shared" ref="T39" si="42">E39-M39</f>
        <v>1.0861476127066449E-3</v>
      </c>
      <c r="U39" s="22">
        <f t="shared" ref="U39" si="43">F39-N39</f>
        <v>-4.4773609527726244E-4</v>
      </c>
      <c r="V39" s="22">
        <f t="shared" ref="V39" si="44">G39-O39</f>
        <v>6.528021134259987E-4</v>
      </c>
      <c r="W39" s="22">
        <f t="shared" ref="W39" si="45">H39-P39</f>
        <v>6.5656023438354083E-4</v>
      </c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41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C69B-2507-46ED-A246-402BA1CE5453}">
  <dimension ref="B1:W50"/>
  <sheetViews>
    <sheetView zoomScale="150" zoomScaleNormal="150" workbookViewId="0">
      <selection activeCell="A2" sqref="A2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31</v>
      </c>
    </row>
    <row r="2" spans="2:23" s="6" customFormat="1" ht="11.5" customHeight="1" x14ac:dyDescent="0.15">
      <c r="K2" s="28" t="s">
        <v>19</v>
      </c>
      <c r="L2" s="28"/>
      <c r="M2" s="28"/>
      <c r="N2" s="28"/>
      <c r="O2" s="28"/>
      <c r="P2" s="28"/>
      <c r="Q2" s="29"/>
      <c r="R2" s="28" t="s">
        <v>26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24</v>
      </c>
      <c r="D3" s="8" t="s">
        <v>25</v>
      </c>
      <c r="E3" s="8" t="s">
        <v>17</v>
      </c>
      <c r="F3" s="8" t="s">
        <v>20</v>
      </c>
      <c r="G3" s="8" t="s">
        <v>21</v>
      </c>
      <c r="H3" s="8" t="s">
        <v>18</v>
      </c>
      <c r="K3" s="8" t="s">
        <v>24</v>
      </c>
      <c r="L3" s="8" t="s">
        <v>25</v>
      </c>
      <c r="M3" s="8" t="s">
        <v>17</v>
      </c>
      <c r="N3" s="8" t="s">
        <v>20</v>
      </c>
      <c r="O3" s="8" t="s">
        <v>21</v>
      </c>
      <c r="P3" s="8" t="s">
        <v>18</v>
      </c>
      <c r="Q3" s="18"/>
      <c r="R3" s="8" t="s">
        <v>24</v>
      </c>
      <c r="S3" s="8" t="s">
        <v>25</v>
      </c>
      <c r="T3" s="8" t="s">
        <v>17</v>
      </c>
      <c r="U3" s="8" t="s">
        <v>20</v>
      </c>
      <c r="V3" s="8" t="s">
        <v>21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20911.596868888864</v>
      </c>
      <c r="D5" s="12">
        <v>14455.537701319916</v>
      </c>
      <c r="E5" s="13">
        <f t="shared" ref="E5:E9" si="0">D5/C5</f>
        <v>0.69126895434877467</v>
      </c>
      <c r="F5" s="14">
        <v>0</v>
      </c>
      <c r="G5" s="14">
        <f t="shared" ref="G5:G9" si="1">(H5/365)/C5</f>
        <v>0</v>
      </c>
      <c r="H5" s="15">
        <f t="shared" ref="H5:H9" si="2">D5*F5*365</f>
        <v>0</v>
      </c>
      <c r="J5" s="5"/>
      <c r="K5" s="12">
        <v>20911.596868888864</v>
      </c>
      <c r="L5" s="12">
        <v>14455.537701319916</v>
      </c>
      <c r="M5" s="23">
        <v>0.69126895434877467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21019.567134238325</v>
      </c>
      <c r="D6" s="12">
        <v>13902.774807484471</v>
      </c>
      <c r="E6" s="13">
        <f t="shared" si="0"/>
        <v>0.66142060484388077</v>
      </c>
      <c r="F6" s="14">
        <v>93.875593683994339</v>
      </c>
      <c r="G6" s="14">
        <f t="shared" si="1"/>
        <v>62.091251954545932</v>
      </c>
      <c r="H6" s="15">
        <f t="shared" si="2"/>
        <v>476372902.20123196</v>
      </c>
      <c r="J6" s="5"/>
      <c r="K6" s="12">
        <v>21019.567134238325</v>
      </c>
      <c r="L6" s="12">
        <v>13902.774807484471</v>
      </c>
      <c r="M6" s="23">
        <v>0.66142060484388077</v>
      </c>
      <c r="N6" s="14">
        <v>93.875593683994339</v>
      </c>
      <c r="O6" s="14">
        <v>62.091251954545932</v>
      </c>
      <c r="P6" s="15">
        <v>476372902.20123196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20895.25</v>
      </c>
      <c r="D7" s="12">
        <v>14767.785119047609</v>
      </c>
      <c r="E7" s="13">
        <f t="shared" si="0"/>
        <v>0.70675321515883316</v>
      </c>
      <c r="F7" s="14">
        <v>99.969710631402066</v>
      </c>
      <c r="G7" s="14">
        <f t="shared" si="1"/>
        <v>70.653914407241587</v>
      </c>
      <c r="H7" s="15">
        <f t="shared" si="2"/>
        <v>538860889.83153892</v>
      </c>
      <c r="J7" s="5"/>
      <c r="K7" s="12">
        <v>20895.25</v>
      </c>
      <c r="L7" s="12">
        <v>14767.785119047609</v>
      </c>
      <c r="M7" s="23">
        <v>0.70675321515883316</v>
      </c>
      <c r="N7" s="14">
        <v>99.969710631402066</v>
      </c>
      <c r="O7" s="14">
        <v>70.653914407241587</v>
      </c>
      <c r="P7" s="15">
        <v>538860889.83153892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20482.916666666668</v>
      </c>
      <c r="D8" s="12">
        <v>14801.986228095608</v>
      </c>
      <c r="E8" s="13">
        <f t="shared" si="0"/>
        <v>0.72265031728532836</v>
      </c>
      <c r="F8" s="14">
        <v>106.06445997534757</v>
      </c>
      <c r="G8" s="14">
        <f t="shared" si="1"/>
        <v>76.647515653881939</v>
      </c>
      <c r="H8" s="15">
        <f t="shared" si="2"/>
        <v>573037106.68360484</v>
      </c>
      <c r="J8" s="5"/>
      <c r="K8" s="12">
        <v>20482.916666666668</v>
      </c>
      <c r="L8" s="12">
        <v>14801.986228095608</v>
      </c>
      <c r="M8" s="23">
        <v>0.72265031728532836</v>
      </c>
      <c r="N8" s="14">
        <v>106.06445997534757</v>
      </c>
      <c r="O8" s="14">
        <v>76.647515653881939</v>
      </c>
      <c r="P8" s="15">
        <v>573037106.68360484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20469.916666666668</v>
      </c>
      <c r="D9" s="12">
        <v>15401.123764700227</v>
      </c>
      <c r="E9" s="13">
        <f t="shared" si="0"/>
        <v>0.7523784300392149</v>
      </c>
      <c r="F9" s="14">
        <v>113.29549562040471</v>
      </c>
      <c r="G9" s="14">
        <f t="shared" si="1"/>
        <v>85.241087125394841</v>
      </c>
      <c r="H9" s="15">
        <f t="shared" si="2"/>
        <v>636880451.76201046</v>
      </c>
      <c r="J9" s="5"/>
      <c r="K9" s="12">
        <v>20469.916666666668</v>
      </c>
      <c r="L9" s="12">
        <v>15401.123764700227</v>
      </c>
      <c r="M9" s="23">
        <v>0.7523784300392149</v>
      </c>
      <c r="N9" s="14">
        <v>113.29549562040471</v>
      </c>
      <c r="O9" s="14">
        <v>85.241087125394841</v>
      </c>
      <c r="P9" s="15">
        <v>636880451.76201046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20970.833333333332</v>
      </c>
      <c r="D10" s="12">
        <v>15754.960330261123</v>
      </c>
      <c r="E10" s="13">
        <f>D10/C10</f>
        <v>0.75127965016146825</v>
      </c>
      <c r="F10" s="14">
        <v>119.32798180584433</v>
      </c>
      <c r="G10" s="14">
        <f>(H10/365)/C10</f>
        <v>89.648684425568774</v>
      </c>
      <c r="H10" s="15">
        <f>D10*F10*365</f>
        <v>686202781.16903746</v>
      </c>
      <c r="J10" s="5"/>
      <c r="K10" s="12">
        <v>20970.833333333332</v>
      </c>
      <c r="L10" s="12">
        <v>15754.960330261123</v>
      </c>
      <c r="M10" s="23">
        <v>0.75127965016146825</v>
      </c>
      <c r="N10" s="14">
        <v>119.32798180584433</v>
      </c>
      <c r="O10" s="14">
        <v>89.648684425568774</v>
      </c>
      <c r="P10" s="15">
        <v>686202781.16903746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20872.5</v>
      </c>
      <c r="D11" s="12">
        <v>15895.851672166667</v>
      </c>
      <c r="E11" s="13">
        <f t="shared" ref="E11:E15" si="3">D11/C11</f>
        <v>0.76156913029903783</v>
      </c>
      <c r="F11" s="14">
        <v>119.72303715824488</v>
      </c>
      <c r="G11" s="14">
        <f t="shared" ref="G11:G15" si="4">(H11/365)/C11</f>
        <v>91.177369285363952</v>
      </c>
      <c r="H11" s="15">
        <f t="shared" ref="H11:H15" si="5">D11*F11*365</f>
        <v>694631368.74919701</v>
      </c>
      <c r="J11" s="11">
        <v>2019</v>
      </c>
      <c r="K11" s="12">
        <v>20872.5</v>
      </c>
      <c r="L11" s="12">
        <v>15895.851672166667</v>
      </c>
      <c r="M11" s="23">
        <v>0.76156913029903783</v>
      </c>
      <c r="N11" s="14">
        <v>119.72303715824488</v>
      </c>
      <c r="O11" s="14">
        <v>91.177369285363952</v>
      </c>
      <c r="P11" s="15">
        <v>694631368.74919701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21216.5</v>
      </c>
      <c r="D12" s="12">
        <v>11571.52182675</v>
      </c>
      <c r="E12" s="13">
        <f t="shared" si="3"/>
        <v>0.54540201384535625</v>
      </c>
      <c r="F12" s="14">
        <v>101.86262904194466</v>
      </c>
      <c r="G12" s="14">
        <f t="shared" si="4"/>
        <v>55.55608301505908</v>
      </c>
      <c r="H12" s="15">
        <f t="shared" si="5"/>
        <v>430227556.88048536</v>
      </c>
      <c r="J12" s="11">
        <v>2020</v>
      </c>
      <c r="K12" s="12">
        <v>21216.5</v>
      </c>
      <c r="L12" s="12">
        <v>11571.52182675</v>
      </c>
      <c r="M12" s="23">
        <v>0.54540201384535625</v>
      </c>
      <c r="N12" s="14">
        <v>101.86262904194466</v>
      </c>
      <c r="O12" s="14">
        <v>55.55608301505908</v>
      </c>
      <c r="P12" s="15">
        <v>430227556.88048536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21465.166666666668</v>
      </c>
      <c r="D13" s="12">
        <v>14421.155978471315</v>
      </c>
      <c r="E13" s="13">
        <f t="shared" si="3"/>
        <v>0.67183992569999373</v>
      </c>
      <c r="F13" s="14">
        <v>118.20344174190674</v>
      </c>
      <c r="G13" s="14">
        <f t="shared" si="4"/>
        <v>79.41379151736615</v>
      </c>
      <c r="H13" s="15">
        <f t="shared" si="5"/>
        <v>622190048.75154722</v>
      </c>
      <c r="J13" s="11">
        <v>2021</v>
      </c>
      <c r="K13" s="12">
        <v>21465.166666666668</v>
      </c>
      <c r="L13" s="12">
        <v>14421.155978471315</v>
      </c>
      <c r="M13" s="23">
        <v>0.67183992569999373</v>
      </c>
      <c r="N13" s="14">
        <v>118.20344174190674</v>
      </c>
      <c r="O13" s="14">
        <v>79.41379151736615</v>
      </c>
      <c r="P13" s="15">
        <v>622190048.75154722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21797.5</v>
      </c>
      <c r="D14" s="12">
        <v>14452.210631080377</v>
      </c>
      <c r="E14" s="13">
        <f t="shared" si="3"/>
        <v>0.66302147636565556</v>
      </c>
      <c r="F14" s="14">
        <v>138.18864103260586</v>
      </c>
      <c r="G14" s="14">
        <f t="shared" si="4"/>
        <v>91.62203679440195</v>
      </c>
      <c r="H14" s="15">
        <f t="shared" si="5"/>
        <v>728952941.6644814</v>
      </c>
      <c r="J14" s="11">
        <v>2022</v>
      </c>
      <c r="K14" s="12">
        <v>21797.5</v>
      </c>
      <c r="L14" s="12">
        <v>14452.210631080377</v>
      </c>
      <c r="M14" s="23">
        <v>0.66302147636565556</v>
      </c>
      <c r="N14" s="14">
        <v>138.18864103260586</v>
      </c>
      <c r="O14" s="14">
        <v>91.62203679440195</v>
      </c>
      <c r="P14" s="15">
        <v>728952941.6644814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22084.31451612903</v>
      </c>
      <c r="D15" s="12">
        <v>14275.499458069331</v>
      </c>
      <c r="E15" s="13">
        <f t="shared" si="3"/>
        <v>0.64640899076325786</v>
      </c>
      <c r="F15" s="14">
        <v>145.29109389165581</v>
      </c>
      <c r="G15" s="14">
        <f t="shared" si="4"/>
        <v>93.917469369394965</v>
      </c>
      <c r="H15" s="15">
        <f t="shared" si="5"/>
        <v>757047570.22111094</v>
      </c>
      <c r="J15" s="11">
        <v>2023</v>
      </c>
      <c r="K15" s="12">
        <v>22084.31451612903</v>
      </c>
      <c r="L15" s="12">
        <v>14275.499458069331</v>
      </c>
      <c r="M15" s="23">
        <v>0.64640899076325786</v>
      </c>
      <c r="N15" s="14">
        <v>145.29109389165581</v>
      </c>
      <c r="O15" s="14">
        <v>93.917469369394965</v>
      </c>
      <c r="P15" s="15">
        <v>757047570.22111094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22279.25</v>
      </c>
      <c r="D16" s="12">
        <v>14524.60741807476</v>
      </c>
      <c r="E16" s="13">
        <f t="shared" ref="E16:E18" si="6">D16/C16</f>
        <v>0.65193430739700664</v>
      </c>
      <c r="F16" s="14">
        <v>143.93667478434654</v>
      </c>
      <c r="G16" s="14">
        <f t="shared" ref="G16:G18" si="7">(H16/365)/C16</f>
        <v>93.837256384561144</v>
      </c>
      <c r="H16" s="15">
        <f t="shared" ref="H16:H18" si="8">D16*F16*365</f>
        <v>763077648.42159295</v>
      </c>
      <c r="J16" s="11">
        <v>2024</v>
      </c>
      <c r="K16" s="12">
        <v>22279.25</v>
      </c>
      <c r="L16" s="12">
        <v>14524.60741807476</v>
      </c>
      <c r="M16" s="23">
        <v>0.65193430739700664</v>
      </c>
      <c r="N16" s="14">
        <v>143.93667478434654</v>
      </c>
      <c r="O16" s="14">
        <v>93.837256384561144</v>
      </c>
      <c r="P16" s="15">
        <v>763077648.42159295</v>
      </c>
      <c r="Q16" s="12"/>
      <c r="R16" s="25"/>
      <c r="S16" s="25"/>
      <c r="T16" s="24"/>
      <c r="U16" s="26"/>
      <c r="V16" s="26"/>
      <c r="W16" s="27"/>
    </row>
    <row r="17" spans="2:23" s="6" customFormat="1" ht="10.25" customHeight="1" outlineLevel="1" x14ac:dyDescent="0.15">
      <c r="B17" s="11">
        <v>2025</v>
      </c>
      <c r="C17" s="12">
        <v>22662.916666666668</v>
      </c>
      <c r="D17" s="12">
        <v>14895.065403621873</v>
      </c>
      <c r="E17" s="13">
        <f t="shared" si="6"/>
        <v>0.65724397361130504</v>
      </c>
      <c r="F17" s="14">
        <v>145.63722119899202</v>
      </c>
      <c r="G17" s="14">
        <f t="shared" si="7"/>
        <v>95.719185966534113</v>
      </c>
      <c r="H17" s="15">
        <f t="shared" si="8"/>
        <v>791785716.26066732</v>
      </c>
      <c r="J17" s="11">
        <v>2025</v>
      </c>
      <c r="K17" s="12">
        <v>22662.916666666668</v>
      </c>
      <c r="L17" s="12">
        <v>14895.065403621873</v>
      </c>
      <c r="M17" s="23">
        <v>0.65724397361130504</v>
      </c>
      <c r="N17" s="14">
        <v>145.63722119899202</v>
      </c>
      <c r="O17" s="14">
        <v>95.719185966534113</v>
      </c>
      <c r="P17" s="15">
        <v>791785716.26066732</v>
      </c>
      <c r="Q17" s="12"/>
      <c r="R17" s="25">
        <f t="shared" ref="R17:W20" si="9">C17-K17</f>
        <v>0</v>
      </c>
      <c r="S17" s="25">
        <f t="shared" si="9"/>
        <v>0</v>
      </c>
      <c r="T17" s="24">
        <f t="shared" si="9"/>
        <v>0</v>
      </c>
      <c r="U17" s="26">
        <f t="shared" si="9"/>
        <v>0</v>
      </c>
      <c r="V17" s="26">
        <f t="shared" si="9"/>
        <v>0</v>
      </c>
      <c r="W17" s="27">
        <f t="shared" si="9"/>
        <v>0</v>
      </c>
    </row>
    <row r="18" spans="2:23" s="6" customFormat="1" outlineLevel="1" x14ac:dyDescent="0.15">
      <c r="B18" s="11">
        <v>2026</v>
      </c>
      <c r="C18" s="12">
        <v>22899.291666666668</v>
      </c>
      <c r="D18" s="12">
        <v>15139.371460847162</v>
      </c>
      <c r="E18" s="13">
        <f t="shared" si="6"/>
        <v>0.66112837380401479</v>
      </c>
      <c r="F18" s="14">
        <v>146.23370059137108</v>
      </c>
      <c r="G18" s="14">
        <f t="shared" si="7"/>
        <v>96.679248667316358</v>
      </c>
      <c r="H18" s="15">
        <f t="shared" si="8"/>
        <v>808068504.37168121</v>
      </c>
      <c r="J18" s="11">
        <v>2026</v>
      </c>
      <c r="K18" s="12">
        <v>22958.875</v>
      </c>
      <c r="L18" s="12">
        <v>15074.584766731065</v>
      </c>
      <c r="M18" s="23">
        <v>0.65659074178203702</v>
      </c>
      <c r="N18" s="14">
        <v>147.0831464397609</v>
      </c>
      <c r="O18" s="14">
        <v>96.573432224518569</v>
      </c>
      <c r="P18" s="15">
        <v>809284335.94874823</v>
      </c>
      <c r="Q18" s="12"/>
      <c r="R18" s="25">
        <f t="shared" si="9"/>
        <v>-59.583333333332121</v>
      </c>
      <c r="S18" s="25">
        <f t="shared" si="9"/>
        <v>64.786694116097351</v>
      </c>
      <c r="T18" s="24">
        <f t="shared" si="9"/>
        <v>4.5376320219777666E-3</v>
      </c>
      <c r="U18" s="26">
        <f t="shared" si="9"/>
        <v>-0.84944584838981996</v>
      </c>
      <c r="V18" s="26">
        <f t="shared" si="9"/>
        <v>0.10581644279778857</v>
      </c>
      <c r="W18" s="27">
        <f t="shared" si="9"/>
        <v>-1215831.5770670176</v>
      </c>
    </row>
    <row r="19" spans="2:23" s="6" customFormat="1" outlineLevel="1" x14ac:dyDescent="0.15">
      <c r="B19" s="11">
        <v>2027</v>
      </c>
      <c r="C19" s="12">
        <v>23261</v>
      </c>
      <c r="D19" s="12">
        <v>15353.853721878409</v>
      </c>
      <c r="E19" s="13">
        <f t="shared" ref="E19" si="10">D19/C19</f>
        <v>0.6600685147619797</v>
      </c>
      <c r="F19" s="14">
        <v>148.30982651330132</v>
      </c>
      <c r="G19" s="14">
        <f t="shared" ref="G19" si="11">(H19/365)/C19</f>
        <v>97.894646911241679</v>
      </c>
      <c r="H19" s="15">
        <f t="shared" ref="H19" si="12">D19*F19*365</f>
        <v>831151494.35787332</v>
      </c>
      <c r="J19" s="11">
        <v>2027</v>
      </c>
      <c r="K19" s="12">
        <v>23426.300000000003</v>
      </c>
      <c r="L19" s="12">
        <v>15327.9598146997</v>
      </c>
      <c r="M19" s="23">
        <v>0.6543056229408698</v>
      </c>
      <c r="N19" s="14">
        <v>149.61076588748239</v>
      </c>
      <c r="O19" s="14">
        <v>97.891165372669789</v>
      </c>
      <c r="P19" s="15">
        <v>837028149.68996775</v>
      </c>
      <c r="Q19" s="12"/>
      <c r="R19" s="25">
        <f t="shared" si="9"/>
        <v>-165.30000000000291</v>
      </c>
      <c r="S19" s="25">
        <f t="shared" si="9"/>
        <v>25.893907178709924</v>
      </c>
      <c r="T19" s="24">
        <f t="shared" si="9"/>
        <v>5.7628918211098945E-3</v>
      </c>
      <c r="U19" s="26">
        <f t="shared" si="9"/>
        <v>-1.3009393741810698</v>
      </c>
      <c r="V19" s="26">
        <f t="shared" si="9"/>
        <v>3.4815385718900416E-3</v>
      </c>
      <c r="W19" s="27">
        <f t="shared" si="9"/>
        <v>-5876655.3320944309</v>
      </c>
    </row>
    <row r="20" spans="2:23" s="6" customFormat="1" outlineLevel="1" x14ac:dyDescent="0.15">
      <c r="B20" s="11">
        <v>2028</v>
      </c>
      <c r="C20" s="12">
        <v>24211.550000000003</v>
      </c>
      <c r="D20" s="12">
        <v>15661.090376354619</v>
      </c>
      <c r="E20" s="13">
        <f t="shared" ref="E20" si="13">D20/C20</f>
        <v>0.64684377399855097</v>
      </c>
      <c r="F20" s="14">
        <v>150.80098069504336</v>
      </c>
      <c r="G20" s="14">
        <f t="shared" ref="G20" si="14">(H20/365)/C20</f>
        <v>97.544675475464487</v>
      </c>
      <c r="H20" s="15">
        <f t="shared" ref="H20" si="15">D20*F20*365</f>
        <v>862023342.44041359</v>
      </c>
      <c r="J20" s="11">
        <v>2028</v>
      </c>
      <c r="K20" s="12">
        <v>23817.777341309</v>
      </c>
      <c r="L20" s="12">
        <v>15646.874203860625</v>
      </c>
      <c r="M20" s="23">
        <v>0.65694098906210907</v>
      </c>
      <c r="N20" s="14">
        <v>152.14867224774946</v>
      </c>
      <c r="O20" s="14">
        <v>99.952699230923187</v>
      </c>
      <c r="P20" s="15">
        <v>868937664.25490892</v>
      </c>
      <c r="Q20" s="12"/>
      <c r="R20" s="25">
        <f t="shared" si="9"/>
        <v>393.77265869100302</v>
      </c>
      <c r="S20" s="25">
        <f t="shared" si="9"/>
        <v>14.216172493994236</v>
      </c>
      <c r="T20" s="24">
        <f t="shared" si="9"/>
        <v>-1.0097215063558096E-2</v>
      </c>
      <c r="U20" s="26">
        <f t="shared" si="9"/>
        <v>-1.3476915527060953</v>
      </c>
      <c r="V20" s="26">
        <f t="shared" si="9"/>
        <v>-2.4080237554587001</v>
      </c>
      <c r="W20" s="27">
        <f t="shared" si="9"/>
        <v>-6914321.8144953251</v>
      </c>
    </row>
    <row r="21" spans="2:23" s="6" customFormat="1" outlineLevel="1" x14ac:dyDescent="0.15">
      <c r="B21" s="11">
        <v>2029</v>
      </c>
      <c r="C21" s="12">
        <v>24527.820840219389</v>
      </c>
      <c r="D21" s="12">
        <v>15947.991939618369</v>
      </c>
      <c r="E21" s="13">
        <f t="shared" ref="E21" si="16">D21/C21</f>
        <v>0.65020011535096167</v>
      </c>
      <c r="F21" s="14">
        <v>153.14311857802812</v>
      </c>
      <c r="G21" s="14">
        <f t="shared" ref="G21" si="17">(H21/365)/C21</f>
        <v>99.573673364639887</v>
      </c>
      <c r="H21" s="15">
        <f t="shared" ref="H21" si="18">D21*F21*365</f>
        <v>891448705.55200052</v>
      </c>
      <c r="J21" s="11">
        <v>2029</v>
      </c>
      <c r="K21" s="12">
        <v>24128.904404710313</v>
      </c>
      <c r="L21" s="12">
        <v>15935.443808812079</v>
      </c>
      <c r="M21" s="23">
        <v>0.66042964659851067</v>
      </c>
      <c r="N21" s="14">
        <v>154.77931979960286</v>
      </c>
      <c r="O21" s="14">
        <v>102.22085147600959</v>
      </c>
      <c r="P21" s="15">
        <v>900264161.00294518</v>
      </c>
      <c r="Q21" s="12"/>
      <c r="R21" s="25">
        <f t="shared" ref="R21" si="19">C21-K21</f>
        <v>398.91643550907611</v>
      </c>
      <c r="S21" s="25">
        <f t="shared" ref="S21" si="20">D21-L21</f>
        <v>12.548130806289919</v>
      </c>
      <c r="T21" s="24">
        <f t="shared" ref="T21" si="21">E21-M21</f>
        <v>-1.0229531247548995E-2</v>
      </c>
      <c r="U21" s="26">
        <f t="shared" ref="U21" si="22">F21-N21</f>
        <v>-1.636201221574737</v>
      </c>
      <c r="V21" s="26">
        <f t="shared" ref="V21" si="23">G21-O21</f>
        <v>-2.6471781113696977</v>
      </c>
      <c r="W21" s="27">
        <f t="shared" ref="W21" si="24">H21-P21</f>
        <v>-8815455.4509446621</v>
      </c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f t="shared" ref="C24:H33" si="25">C6/C5-1</f>
        <v>5.1631764913224742E-3</v>
      </c>
      <c r="D24" s="13">
        <f t="shared" si="25"/>
        <v>-3.8238833121024052E-2</v>
      </c>
      <c r="E24" s="13">
        <f t="shared" si="25"/>
        <v>-4.3179068461150827E-2</v>
      </c>
      <c r="F24" s="13" t="e">
        <f t="shared" si="25"/>
        <v>#DIV/0!</v>
      </c>
      <c r="G24" s="13" t="e">
        <f t="shared" si="25"/>
        <v>#DIV/0!</v>
      </c>
      <c r="H24" s="13" t="e">
        <f t="shared" si="25"/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f t="shared" si="25"/>
        <v>-5.9143527287880415E-3</v>
      </c>
      <c r="D25" s="13">
        <f t="shared" si="25"/>
        <v>6.2218537201470303E-2</v>
      </c>
      <c r="E25" s="13">
        <f t="shared" si="25"/>
        <v>6.8538249312103838E-2</v>
      </c>
      <c r="F25" s="13">
        <f t="shared" si="25"/>
        <v>6.4916947081281373E-2</v>
      </c>
      <c r="G25" s="13">
        <f t="shared" si="25"/>
        <v>0.13790449029702234</v>
      </c>
      <c r="H25" s="13">
        <f t="shared" si="25"/>
        <v>0.13117452176973421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f t="shared" si="25"/>
        <v>-1.9733352476439925E-2</v>
      </c>
      <c r="D26" s="13">
        <f t="shared" si="25"/>
        <v>2.3159267806440731E-3</v>
      </c>
      <c r="E26" s="13">
        <f t="shared" si="25"/>
        <v>2.2493144403909815E-2</v>
      </c>
      <c r="F26" s="13">
        <f t="shared" si="25"/>
        <v>6.0965959643690892E-2</v>
      </c>
      <c r="G26" s="13">
        <f t="shared" si="25"/>
        <v>8.4830420181589261E-2</v>
      </c>
      <c r="H26" s="13">
        <f t="shared" si="25"/>
        <v>6.3423079122981507E-2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f t="shared" si="25"/>
        <v>-6.3467523749460852E-4</v>
      </c>
      <c r="D27" s="13">
        <f t="shared" si="25"/>
        <v>4.0476833809465207E-2</v>
      </c>
      <c r="E27" s="13">
        <f t="shared" si="25"/>
        <v>4.1137618074481352E-2</v>
      </c>
      <c r="F27" s="13">
        <f t="shared" si="25"/>
        <v>6.8175858781893917E-2</v>
      </c>
      <c r="G27" s="13">
        <f t="shared" si="25"/>
        <v>0.11211806929684442</v>
      </c>
      <c r="H27" s="13">
        <f t="shared" si="25"/>
        <v>0.11141223549709123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f t="shared" si="25"/>
        <v>2.4470869853728372E-2</v>
      </c>
      <c r="D28" s="13">
        <f t="shared" si="25"/>
        <v>2.2974723855664347E-2</v>
      </c>
      <c r="E28" s="13">
        <f t="shared" si="25"/>
        <v>-1.4604085309694037E-3</v>
      </c>
      <c r="F28" s="13">
        <f t="shared" si="25"/>
        <v>5.3245595973659965E-2</v>
      </c>
      <c r="G28" s="13">
        <f t="shared" si="25"/>
        <v>5.1707427120093907E-2</v>
      </c>
      <c r="H28" s="13">
        <f t="shared" si="25"/>
        <v>7.7443622693349257E-2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f>B11</f>
        <v>2019</v>
      </c>
      <c r="C29" s="13">
        <f t="shared" si="25"/>
        <v>-4.6890522551161773E-3</v>
      </c>
      <c r="D29" s="13">
        <f t="shared" si="25"/>
        <v>8.9426656082991496E-3</v>
      </c>
      <c r="E29" s="13">
        <f t="shared" si="25"/>
        <v>1.3695938836301602E-2</v>
      </c>
      <c r="F29" s="13">
        <f t="shared" si="25"/>
        <v>3.3106681804384586E-3</v>
      </c>
      <c r="G29" s="13">
        <f t="shared" si="25"/>
        <v>1.7051949725646942E-2</v>
      </c>
      <c r="H29" s="13">
        <f t="shared" si="25"/>
        <v>1.2282939987215302E-2</v>
      </c>
      <c r="J29" s="11">
        <f>J11</f>
        <v>2019</v>
      </c>
      <c r="K29" s="13">
        <f t="shared" ref="K29:P39" si="26">K11/K10-1</f>
        <v>-4.6890522551161773E-3</v>
      </c>
      <c r="L29" s="13">
        <f t="shared" si="26"/>
        <v>8.9426656082991496E-3</v>
      </c>
      <c r="M29" s="13">
        <f t="shared" si="26"/>
        <v>1.3695938836301602E-2</v>
      </c>
      <c r="N29" s="13">
        <f t="shared" si="26"/>
        <v>3.3106681804384586E-3</v>
      </c>
      <c r="O29" s="13">
        <f t="shared" si="26"/>
        <v>1.7051949725646942E-2</v>
      </c>
      <c r="P29" s="13">
        <f t="shared" si="26"/>
        <v>1.2282939987215302E-2</v>
      </c>
      <c r="Q29" s="13"/>
      <c r="R29" s="22">
        <f t="shared" ref="R29:R38" si="27">C29-K29</f>
        <v>0</v>
      </c>
      <c r="S29" s="22">
        <f t="shared" ref="S29:S38" si="28">D29-L29</f>
        <v>0</v>
      </c>
      <c r="T29" s="22">
        <f t="shared" ref="T29:T38" si="29">E29-M29</f>
        <v>0</v>
      </c>
      <c r="U29" s="22">
        <f t="shared" ref="U29:U38" si="30">F29-N29</f>
        <v>0</v>
      </c>
      <c r="V29" s="22">
        <f t="shared" ref="V29:V38" si="31">G29-O29</f>
        <v>0</v>
      </c>
      <c r="W29" s="22">
        <f t="shared" ref="W29:W38" si="32">H29-P29</f>
        <v>0</v>
      </c>
    </row>
    <row r="30" spans="2:23" s="6" customFormat="1" x14ac:dyDescent="0.15">
      <c r="B30" s="11">
        <f>B12</f>
        <v>2020</v>
      </c>
      <c r="C30" s="13">
        <f t="shared" si="25"/>
        <v>1.6481015690501755E-2</v>
      </c>
      <c r="D30" s="13">
        <f t="shared" si="25"/>
        <v>-0.27204140643740948</v>
      </c>
      <c r="E30" s="13">
        <f t="shared" si="25"/>
        <v>-0.28384437847264288</v>
      </c>
      <c r="F30" s="13">
        <f t="shared" si="25"/>
        <v>-0.14918104769337825</v>
      </c>
      <c r="G30" s="13">
        <f t="shared" si="25"/>
        <v>-0.39068122440359665</v>
      </c>
      <c r="H30" s="13">
        <f t="shared" si="25"/>
        <v>-0.38063903210247485</v>
      </c>
      <c r="J30" s="11">
        <f>J12</f>
        <v>2020</v>
      </c>
      <c r="K30" s="13">
        <f t="shared" si="26"/>
        <v>1.6481015690501755E-2</v>
      </c>
      <c r="L30" s="13">
        <f t="shared" si="26"/>
        <v>-0.27204140643740948</v>
      </c>
      <c r="M30" s="13">
        <f t="shared" si="26"/>
        <v>-0.28384437847264288</v>
      </c>
      <c r="N30" s="13">
        <f t="shared" si="26"/>
        <v>-0.14918104769337825</v>
      </c>
      <c r="O30" s="13">
        <f t="shared" si="26"/>
        <v>-0.39068122440359665</v>
      </c>
      <c r="P30" s="13">
        <f t="shared" si="26"/>
        <v>-0.38063903210247485</v>
      </c>
      <c r="Q30" s="13"/>
      <c r="R30" s="22">
        <f t="shared" si="27"/>
        <v>0</v>
      </c>
      <c r="S30" s="22">
        <f t="shared" si="28"/>
        <v>0</v>
      </c>
      <c r="T30" s="22">
        <f t="shared" si="29"/>
        <v>0</v>
      </c>
      <c r="U30" s="22">
        <f t="shared" si="30"/>
        <v>0</v>
      </c>
      <c r="V30" s="22">
        <f t="shared" si="31"/>
        <v>0</v>
      </c>
      <c r="W30" s="22">
        <f t="shared" si="32"/>
        <v>0</v>
      </c>
    </row>
    <row r="31" spans="2:23" s="6" customFormat="1" x14ac:dyDescent="0.15">
      <c r="B31" s="11">
        <f>B13</f>
        <v>2021</v>
      </c>
      <c r="C31" s="13">
        <f t="shared" si="25"/>
        <v>1.172043770964426E-2</v>
      </c>
      <c r="D31" s="13">
        <f t="shared" si="25"/>
        <v>0.24626269512224286</v>
      </c>
      <c r="E31" s="13">
        <f t="shared" si="25"/>
        <v>0.23182516500661077</v>
      </c>
      <c r="F31" s="13">
        <f t="shared" si="25"/>
        <v>0.16042009570785098</v>
      </c>
      <c r="G31" s="13">
        <f t="shared" si="25"/>
        <v>0.42943467587231043</v>
      </c>
      <c r="H31" s="13">
        <f t="shared" si="25"/>
        <v>0.44618827595087751</v>
      </c>
      <c r="J31" s="11">
        <f>J13</f>
        <v>2021</v>
      </c>
      <c r="K31" s="13">
        <f t="shared" si="26"/>
        <v>1.172043770964426E-2</v>
      </c>
      <c r="L31" s="13">
        <f t="shared" si="26"/>
        <v>0.24626269512224286</v>
      </c>
      <c r="M31" s="13">
        <f t="shared" si="26"/>
        <v>0.23182516500661077</v>
      </c>
      <c r="N31" s="13">
        <f t="shared" si="26"/>
        <v>0.16042009570785098</v>
      </c>
      <c r="O31" s="13">
        <f t="shared" si="26"/>
        <v>0.42943467587231043</v>
      </c>
      <c r="P31" s="13">
        <f t="shared" si="26"/>
        <v>0.44618827595087751</v>
      </c>
      <c r="Q31" s="13"/>
      <c r="R31" s="22">
        <f t="shared" si="27"/>
        <v>0</v>
      </c>
      <c r="S31" s="22">
        <f t="shared" si="28"/>
        <v>0</v>
      </c>
      <c r="T31" s="22">
        <f t="shared" si="29"/>
        <v>0</v>
      </c>
      <c r="U31" s="22">
        <f t="shared" si="30"/>
        <v>0</v>
      </c>
      <c r="V31" s="22">
        <f t="shared" si="31"/>
        <v>0</v>
      </c>
      <c r="W31" s="22">
        <f t="shared" si="32"/>
        <v>0</v>
      </c>
    </row>
    <row r="32" spans="2:23" s="6" customFormat="1" outlineLevel="1" x14ac:dyDescent="0.15">
      <c r="B32" s="11">
        <f>B14</f>
        <v>2022</v>
      </c>
      <c r="C32" s="13">
        <f t="shared" si="25"/>
        <v>1.5482448307723384E-2</v>
      </c>
      <c r="D32" s="13">
        <f t="shared" si="25"/>
        <v>2.1534093837847212E-3</v>
      </c>
      <c r="E32" s="13">
        <f t="shared" si="25"/>
        <v>-1.3125819108101067E-2</v>
      </c>
      <c r="F32" s="13">
        <f t="shared" si="25"/>
        <v>0.16907459711990569</v>
      </c>
      <c r="G32" s="13">
        <f t="shared" si="25"/>
        <v>0.15372953543423384</v>
      </c>
      <c r="H32" s="13">
        <f t="shared" si="25"/>
        <v>0.17159209332768799</v>
      </c>
      <c r="J32" s="11">
        <f>J14</f>
        <v>2022</v>
      </c>
      <c r="K32" s="13">
        <f t="shared" si="26"/>
        <v>1.5482448307723384E-2</v>
      </c>
      <c r="L32" s="13">
        <f t="shared" si="26"/>
        <v>2.1534093837847212E-3</v>
      </c>
      <c r="M32" s="13">
        <f t="shared" si="26"/>
        <v>-1.3125819108101067E-2</v>
      </c>
      <c r="N32" s="13">
        <f t="shared" si="26"/>
        <v>0.16907459711990569</v>
      </c>
      <c r="O32" s="13">
        <f t="shared" si="26"/>
        <v>0.15372953543423384</v>
      </c>
      <c r="P32" s="13">
        <f t="shared" si="26"/>
        <v>0.17159209332768799</v>
      </c>
      <c r="Q32" s="13"/>
      <c r="R32" s="22">
        <f t="shared" si="27"/>
        <v>0</v>
      </c>
      <c r="S32" s="22">
        <f t="shared" si="28"/>
        <v>0</v>
      </c>
      <c r="T32" s="22">
        <f t="shared" si="29"/>
        <v>0</v>
      </c>
      <c r="U32" s="22">
        <f t="shared" si="30"/>
        <v>0</v>
      </c>
      <c r="V32" s="22">
        <f t="shared" si="31"/>
        <v>0</v>
      </c>
      <c r="W32" s="22">
        <f t="shared" si="32"/>
        <v>0</v>
      </c>
    </row>
    <row r="33" spans="2:23" s="6" customFormat="1" outlineLevel="1" x14ac:dyDescent="0.15">
      <c r="B33" s="11">
        <v>2023</v>
      </c>
      <c r="C33" s="13">
        <f t="shared" si="25"/>
        <v>1.3158138141026843E-2</v>
      </c>
      <c r="D33" s="13">
        <f t="shared" si="25"/>
        <v>-1.2227276333145798E-2</v>
      </c>
      <c r="E33" s="13">
        <f t="shared" si="25"/>
        <v>-2.5055727747250067E-2</v>
      </c>
      <c r="F33" s="13">
        <f t="shared" si="25"/>
        <v>5.1396792138466152E-2</v>
      </c>
      <c r="G33" s="13">
        <f t="shared" si="25"/>
        <v>2.5053280360312513E-2</v>
      </c>
      <c r="H33" s="13">
        <f t="shared" si="25"/>
        <v>3.8541073025206041E-2</v>
      </c>
      <c r="J33" s="11">
        <v>2023</v>
      </c>
      <c r="K33" s="13">
        <f t="shared" si="26"/>
        <v>1.3158138141026843E-2</v>
      </c>
      <c r="L33" s="13">
        <f t="shared" si="26"/>
        <v>-1.2227276333145798E-2</v>
      </c>
      <c r="M33" s="13">
        <f t="shared" si="26"/>
        <v>-2.5055727747250067E-2</v>
      </c>
      <c r="N33" s="13">
        <f t="shared" si="26"/>
        <v>5.1396792138466152E-2</v>
      </c>
      <c r="O33" s="13">
        <f t="shared" si="26"/>
        <v>2.5053280360312513E-2</v>
      </c>
      <c r="P33" s="13">
        <f t="shared" si="26"/>
        <v>3.8541073025206041E-2</v>
      </c>
      <c r="Q33" s="13"/>
      <c r="R33" s="22">
        <f t="shared" si="27"/>
        <v>0</v>
      </c>
      <c r="S33" s="22">
        <f t="shared" si="28"/>
        <v>0</v>
      </c>
      <c r="T33" s="22">
        <f t="shared" si="29"/>
        <v>0</v>
      </c>
      <c r="U33" s="22">
        <f t="shared" si="30"/>
        <v>0</v>
      </c>
      <c r="V33" s="22">
        <f t="shared" si="31"/>
        <v>0</v>
      </c>
      <c r="W33" s="22">
        <f t="shared" si="32"/>
        <v>0</v>
      </c>
    </row>
    <row r="34" spans="2:23" s="6" customFormat="1" outlineLevel="1" x14ac:dyDescent="0.15">
      <c r="B34" s="11">
        <v>2024</v>
      </c>
      <c r="C34" s="13">
        <f t="shared" ref="C34:H39" si="33">C16/C15-1</f>
        <v>8.8268750079880665E-3</v>
      </c>
      <c r="D34" s="13">
        <f t="shared" si="33"/>
        <v>1.7450034637115142E-2</v>
      </c>
      <c r="E34" s="13">
        <f t="shared" si="33"/>
        <v>8.547710060815561E-3</v>
      </c>
      <c r="F34" s="13">
        <f t="shared" si="33"/>
        <v>-9.3221068892169745E-3</v>
      </c>
      <c r="G34" s="13">
        <f t="shared" si="33"/>
        <v>-8.5407949524629601E-4</v>
      </c>
      <c r="H34" s="13">
        <f t="shared" si="33"/>
        <v>7.9652566597905317E-3</v>
      </c>
      <c r="J34" s="11">
        <v>2024</v>
      </c>
      <c r="K34" s="13">
        <f t="shared" si="26"/>
        <v>8.8268750079880665E-3</v>
      </c>
      <c r="L34" s="13">
        <f t="shared" si="26"/>
        <v>1.7450034637115142E-2</v>
      </c>
      <c r="M34" s="13">
        <f t="shared" si="26"/>
        <v>8.547710060815561E-3</v>
      </c>
      <c r="N34" s="13">
        <f t="shared" si="26"/>
        <v>-9.3221068892169745E-3</v>
      </c>
      <c r="O34" s="13">
        <f t="shared" si="26"/>
        <v>-8.5407949524629601E-4</v>
      </c>
      <c r="P34" s="13">
        <f t="shared" si="26"/>
        <v>7.9652566597905317E-3</v>
      </c>
      <c r="Q34" s="13"/>
      <c r="R34" s="22">
        <f t="shared" si="27"/>
        <v>0</v>
      </c>
      <c r="S34" s="22">
        <f t="shared" si="28"/>
        <v>0</v>
      </c>
      <c r="T34" s="22">
        <f t="shared" si="29"/>
        <v>0</v>
      </c>
      <c r="U34" s="22">
        <f t="shared" si="30"/>
        <v>0</v>
      </c>
      <c r="V34" s="22">
        <f t="shared" si="31"/>
        <v>0</v>
      </c>
      <c r="W34" s="22">
        <f t="shared" si="32"/>
        <v>0</v>
      </c>
    </row>
    <row r="35" spans="2:23" s="6" customFormat="1" outlineLevel="1" x14ac:dyDescent="0.15">
      <c r="B35" s="11">
        <v>2025</v>
      </c>
      <c r="C35" s="13">
        <f t="shared" si="33"/>
        <v>1.7220807103770053E-2</v>
      </c>
      <c r="D35" s="13">
        <f t="shared" si="33"/>
        <v>2.5505542069667708E-2</v>
      </c>
      <c r="E35" s="13">
        <f t="shared" si="33"/>
        <v>8.1444804392920567E-3</v>
      </c>
      <c r="F35" s="13">
        <f t="shared" si="33"/>
        <v>1.1814545647892194E-2</v>
      </c>
      <c r="G35" s="13">
        <f t="shared" si="33"/>
        <v>2.0055249423112986E-2</v>
      </c>
      <c r="H35" s="13">
        <f t="shared" si="33"/>
        <v>3.7621424108616353E-2</v>
      </c>
      <c r="J35" s="11">
        <v>2025</v>
      </c>
      <c r="K35" s="13">
        <f t="shared" si="26"/>
        <v>1.7220807103770053E-2</v>
      </c>
      <c r="L35" s="13">
        <f t="shared" si="26"/>
        <v>2.5505542069667708E-2</v>
      </c>
      <c r="M35" s="13">
        <f t="shared" si="26"/>
        <v>8.1444804392920567E-3</v>
      </c>
      <c r="N35" s="13">
        <f t="shared" si="26"/>
        <v>1.1814545647892194E-2</v>
      </c>
      <c r="O35" s="13">
        <f t="shared" si="26"/>
        <v>2.0055249423112986E-2</v>
      </c>
      <c r="P35" s="13">
        <f t="shared" si="26"/>
        <v>3.7621424108616353E-2</v>
      </c>
      <c r="Q35" s="13"/>
      <c r="R35" s="22">
        <f t="shared" si="27"/>
        <v>0</v>
      </c>
      <c r="S35" s="22">
        <f t="shared" si="28"/>
        <v>0</v>
      </c>
      <c r="T35" s="22">
        <f t="shared" si="29"/>
        <v>0</v>
      </c>
      <c r="U35" s="22">
        <f t="shared" si="30"/>
        <v>0</v>
      </c>
      <c r="V35" s="22">
        <f t="shared" si="31"/>
        <v>0</v>
      </c>
      <c r="W35" s="22">
        <f t="shared" si="32"/>
        <v>0</v>
      </c>
    </row>
    <row r="36" spans="2:23" s="6" customFormat="1" outlineLevel="1" x14ac:dyDescent="0.15">
      <c r="B36" s="11">
        <v>2026</v>
      </c>
      <c r="C36" s="13">
        <f t="shared" si="33"/>
        <v>1.0430034380688014E-2</v>
      </c>
      <c r="D36" s="13">
        <f t="shared" si="33"/>
        <v>1.6401811647358322E-2</v>
      </c>
      <c r="E36" s="13">
        <f t="shared" si="33"/>
        <v>5.9101343620793223E-3</v>
      </c>
      <c r="F36" s="13">
        <f t="shared" si="33"/>
        <v>4.0956521105552923E-3</v>
      </c>
      <c r="G36" s="13">
        <f t="shared" si="33"/>
        <v>1.0029992326908266E-2</v>
      </c>
      <c r="H36" s="13">
        <f t="shared" si="33"/>
        <v>2.0564639872403756E-2</v>
      </c>
      <c r="J36" s="11">
        <v>2026</v>
      </c>
      <c r="K36" s="13">
        <f t="shared" si="26"/>
        <v>1.3059145814564799E-2</v>
      </c>
      <c r="L36" s="13">
        <f t="shared" si="26"/>
        <v>1.205227088600358E-2</v>
      </c>
      <c r="M36" s="13">
        <f t="shared" si="26"/>
        <v>-9.9389550227257928E-4</v>
      </c>
      <c r="N36" s="13">
        <f t="shared" si="26"/>
        <v>9.9282671618214913E-3</v>
      </c>
      <c r="O36" s="13">
        <f t="shared" si="26"/>
        <v>8.9245039994712005E-3</v>
      </c>
      <c r="P36" s="13">
        <f t="shared" si="26"/>
        <v>2.2100196213087564E-2</v>
      </c>
      <c r="Q36" s="13"/>
      <c r="R36" s="22">
        <f t="shared" si="27"/>
        <v>-2.6291114338767851E-3</v>
      </c>
      <c r="S36" s="22">
        <f t="shared" si="28"/>
        <v>4.3495407613547421E-3</v>
      </c>
      <c r="T36" s="22">
        <f t="shared" si="29"/>
        <v>6.9040298643519016E-3</v>
      </c>
      <c r="U36" s="22">
        <f t="shared" si="30"/>
        <v>-5.8326150512661989E-3</v>
      </c>
      <c r="V36" s="22">
        <f t="shared" si="31"/>
        <v>1.1054883274370653E-3</v>
      </c>
      <c r="W36" s="22">
        <f t="shared" si="32"/>
        <v>-1.535556340683808E-3</v>
      </c>
    </row>
    <row r="37" spans="2:23" s="6" customFormat="1" outlineLevel="1" x14ac:dyDescent="0.15">
      <c r="B37" s="11">
        <v>2027</v>
      </c>
      <c r="C37" s="13">
        <f t="shared" si="33"/>
        <v>1.5795612309696505E-2</v>
      </c>
      <c r="D37" s="13">
        <f t="shared" si="33"/>
        <v>1.4167183993465837E-2</v>
      </c>
      <c r="E37" s="13">
        <f t="shared" si="33"/>
        <v>-1.6031062710814004E-3</v>
      </c>
      <c r="F37" s="13">
        <f t="shared" si="33"/>
        <v>1.4197315075350936E-2</v>
      </c>
      <c r="G37" s="13">
        <f t="shared" si="33"/>
        <v>1.2571448999439738E-2</v>
      </c>
      <c r="H37" s="13">
        <f t="shared" si="33"/>
        <v>2.8565635043702686E-2</v>
      </c>
      <c r="J37" s="11">
        <v>2027</v>
      </c>
      <c r="K37" s="13">
        <f t="shared" si="26"/>
        <v>2.0359229274082624E-2</v>
      </c>
      <c r="L37" s="13">
        <f t="shared" si="26"/>
        <v>1.680809467653277E-2</v>
      </c>
      <c r="M37" s="13">
        <f t="shared" si="26"/>
        <v>-3.4802788034525856E-3</v>
      </c>
      <c r="N37" s="13">
        <f t="shared" si="26"/>
        <v>1.7184969922823257E-2</v>
      </c>
      <c r="O37" s="13">
        <f t="shared" si="26"/>
        <v>1.3644882632810384E-2</v>
      </c>
      <c r="P37" s="13">
        <f t="shared" si="26"/>
        <v>3.4281911200832349E-2</v>
      </c>
      <c r="Q37" s="13"/>
      <c r="R37" s="22">
        <f t="shared" si="27"/>
        <v>-4.5636169643861191E-3</v>
      </c>
      <c r="S37" s="22">
        <f t="shared" si="28"/>
        <v>-2.6409106830669327E-3</v>
      </c>
      <c r="T37" s="22">
        <f t="shared" si="29"/>
        <v>1.8771725323711852E-3</v>
      </c>
      <c r="U37" s="22">
        <f t="shared" si="30"/>
        <v>-2.9876548474723208E-3</v>
      </c>
      <c r="V37" s="22">
        <f t="shared" si="31"/>
        <v>-1.0734336333706462E-3</v>
      </c>
      <c r="W37" s="22">
        <f t="shared" si="32"/>
        <v>-5.7162761571296627E-3</v>
      </c>
    </row>
    <row r="38" spans="2:23" s="6" customFormat="1" outlineLevel="1" x14ac:dyDescent="0.15">
      <c r="B38" s="11">
        <v>2028</v>
      </c>
      <c r="C38" s="13">
        <f t="shared" si="33"/>
        <v>4.08645372082026E-2</v>
      </c>
      <c r="D38" s="13">
        <f t="shared" si="33"/>
        <v>2.0010393484367617E-2</v>
      </c>
      <c r="E38" s="13">
        <f t="shared" si="33"/>
        <v>-2.0035406124768063E-2</v>
      </c>
      <c r="F38" s="13">
        <f t="shared" si="33"/>
        <v>1.6796959718098137E-2</v>
      </c>
      <c r="G38" s="13">
        <f t="shared" si="33"/>
        <v>-3.5749803162833382E-3</v>
      </c>
      <c r="H38" s="13">
        <f t="shared" si="33"/>
        <v>3.7143466975765982E-2</v>
      </c>
      <c r="J38" s="11">
        <v>2028</v>
      </c>
      <c r="K38" s="13">
        <f t="shared" si="26"/>
        <v>1.6711018868067029E-2</v>
      </c>
      <c r="L38" s="13">
        <f t="shared" si="26"/>
        <v>2.0806055927618194E-2</v>
      </c>
      <c r="M38" s="13">
        <f t="shared" si="26"/>
        <v>4.0277295943051961E-3</v>
      </c>
      <c r="N38" s="13">
        <f t="shared" si="26"/>
        <v>1.696339394569879E-2</v>
      </c>
      <c r="O38" s="13">
        <f t="shared" si="26"/>
        <v>2.1059447503819051E-2</v>
      </c>
      <c r="P38" s="13">
        <f t="shared" si="26"/>
        <v>3.8122391196473204E-2</v>
      </c>
      <c r="Q38" s="13"/>
      <c r="R38" s="22">
        <f t="shared" si="27"/>
        <v>2.4153518340135571E-2</v>
      </c>
      <c r="S38" s="22">
        <f t="shared" si="28"/>
        <v>-7.9566244325057767E-4</v>
      </c>
      <c r="T38" s="22">
        <f t="shared" si="29"/>
        <v>-2.4063135719073259E-2</v>
      </c>
      <c r="U38" s="22">
        <f t="shared" si="30"/>
        <v>-1.6643422760065363E-4</v>
      </c>
      <c r="V38" s="22">
        <f t="shared" si="31"/>
        <v>-2.4634427820102389E-2</v>
      </c>
      <c r="W38" s="22">
        <f t="shared" si="32"/>
        <v>-9.789242207072224E-4</v>
      </c>
    </row>
    <row r="39" spans="2:23" s="6" customFormat="1" outlineLevel="1" x14ac:dyDescent="0.15">
      <c r="B39" s="11">
        <v>2029</v>
      </c>
      <c r="C39" s="13">
        <f t="shared" si="33"/>
        <v>1.3062808462051656E-2</v>
      </c>
      <c r="D39" s="13">
        <f t="shared" si="33"/>
        <v>1.8319386222106049E-2</v>
      </c>
      <c r="E39" s="13">
        <f t="shared" si="33"/>
        <v>5.1887974922646407E-3</v>
      </c>
      <c r="F39" s="13">
        <f t="shared" si="33"/>
        <v>1.5531317317631688E-2</v>
      </c>
      <c r="G39" s="13">
        <f t="shared" si="33"/>
        <v>2.0800703670245557E-2</v>
      </c>
      <c r="H39" s="13">
        <f t="shared" si="33"/>
        <v>3.4135227740217378E-2</v>
      </c>
      <c r="J39" s="11">
        <v>2029</v>
      </c>
      <c r="K39" s="13">
        <f t="shared" si="26"/>
        <v>1.3062808462051656E-2</v>
      </c>
      <c r="L39" s="13">
        <f t="shared" si="26"/>
        <v>1.8442635966246401E-2</v>
      </c>
      <c r="M39" s="13">
        <f t="shared" si="26"/>
        <v>5.3104580083855879E-3</v>
      </c>
      <c r="N39" s="13">
        <f t="shared" si="26"/>
        <v>1.7289980339557642E-2</v>
      </c>
      <c r="O39" s="13">
        <f t="shared" si="26"/>
        <v>2.2692256062502469E-2</v>
      </c>
      <c r="P39" s="13">
        <f t="shared" si="26"/>
        <v>3.6051489119070412E-2</v>
      </c>
      <c r="Q39" s="13"/>
      <c r="R39" s="22">
        <f t="shared" ref="R39" si="34">C39-K39</f>
        <v>0</v>
      </c>
      <c r="S39" s="22">
        <f t="shared" ref="S39" si="35">D39-L39</f>
        <v>-1.2324974414035239E-4</v>
      </c>
      <c r="T39" s="22">
        <f t="shared" ref="T39" si="36">E39-M39</f>
        <v>-1.2166051612094719E-4</v>
      </c>
      <c r="U39" s="22">
        <f t="shared" ref="U39" si="37">F39-N39</f>
        <v>-1.7586630219259547E-3</v>
      </c>
      <c r="V39" s="22">
        <f t="shared" ref="V39" si="38">G39-O39</f>
        <v>-1.8915523922569122E-3</v>
      </c>
      <c r="W39" s="22">
        <f t="shared" ref="W39" si="39">H39-P39</f>
        <v>-1.9162613788530347E-3</v>
      </c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41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A762-3F0A-4D94-A358-6A976094C66E}">
  <dimension ref="B1:W50"/>
  <sheetViews>
    <sheetView zoomScale="150" zoomScaleNormal="150" workbookViewId="0">
      <selection activeCell="A2" sqref="A2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32</v>
      </c>
    </row>
    <row r="2" spans="2:23" s="6" customFormat="1" ht="11.5" customHeight="1" x14ac:dyDescent="0.15">
      <c r="K2" s="28" t="s">
        <v>19</v>
      </c>
      <c r="L2" s="28"/>
      <c r="M2" s="28"/>
      <c r="N2" s="28"/>
      <c r="O2" s="28"/>
      <c r="P2" s="28"/>
      <c r="Q2" s="29"/>
      <c r="R2" s="28" t="s">
        <v>26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24</v>
      </c>
      <c r="D3" s="8" t="s">
        <v>25</v>
      </c>
      <c r="E3" s="8" t="s">
        <v>17</v>
      </c>
      <c r="F3" s="8" t="s">
        <v>20</v>
      </c>
      <c r="G3" s="8" t="s">
        <v>21</v>
      </c>
      <c r="H3" s="8" t="s">
        <v>18</v>
      </c>
      <c r="K3" s="8" t="s">
        <v>24</v>
      </c>
      <c r="L3" s="8" t="s">
        <v>25</v>
      </c>
      <c r="M3" s="8" t="s">
        <v>17</v>
      </c>
      <c r="N3" s="8" t="s">
        <v>20</v>
      </c>
      <c r="O3" s="8" t="s">
        <v>21</v>
      </c>
      <c r="P3" s="8" t="s">
        <v>18</v>
      </c>
      <c r="Q3" s="18"/>
      <c r="R3" s="8" t="s">
        <v>24</v>
      </c>
      <c r="S3" s="8" t="s">
        <v>25</v>
      </c>
      <c r="T3" s="8" t="s">
        <v>17</v>
      </c>
      <c r="U3" s="8" t="s">
        <v>20</v>
      </c>
      <c r="V3" s="8" t="s">
        <v>21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14199.527786488494</v>
      </c>
      <c r="D5" s="12">
        <v>6796.2747022192734</v>
      </c>
      <c r="E5" s="13">
        <f t="shared" ref="E5:E9" si="0">D5/C5</f>
        <v>0.47862681100467597</v>
      </c>
      <c r="F5" s="14">
        <v>0</v>
      </c>
      <c r="G5" s="14">
        <f t="shared" ref="G5:G9" si="1">(H5/365)/C5</f>
        <v>0</v>
      </c>
      <c r="H5" s="15">
        <f t="shared" ref="H5:H9" si="2">D5*F5*365</f>
        <v>0</v>
      </c>
      <c r="J5" s="5"/>
      <c r="K5" s="12">
        <v>14199.527786488494</v>
      </c>
      <c r="L5" s="12">
        <v>6796.2747022192734</v>
      </c>
      <c r="M5" s="23">
        <v>0.47862681100467597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14393.052662764714</v>
      </c>
      <c r="D6" s="12">
        <v>7913.8312307496535</v>
      </c>
      <c r="E6" s="13">
        <f t="shared" si="0"/>
        <v>0.54983688423672539</v>
      </c>
      <c r="F6" s="14">
        <v>137.46173773670282</v>
      </c>
      <c r="G6" s="14">
        <f t="shared" si="1"/>
        <v>75.581533578914559</v>
      </c>
      <c r="H6" s="15">
        <f t="shared" si="2"/>
        <v>397064882.49385047</v>
      </c>
      <c r="J6" s="5"/>
      <c r="K6" s="12">
        <v>14393.052662764714</v>
      </c>
      <c r="L6" s="12">
        <v>7913.8312307496535</v>
      </c>
      <c r="M6" s="23">
        <v>0.54983688423672539</v>
      </c>
      <c r="N6" s="14">
        <v>137.46173773670282</v>
      </c>
      <c r="O6" s="14">
        <v>75.581533578914559</v>
      </c>
      <c r="P6" s="15">
        <v>397064882.49385047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14354.5</v>
      </c>
      <c r="D7" s="12">
        <v>8476.6297811059831</v>
      </c>
      <c r="E7" s="13">
        <f t="shared" si="0"/>
        <v>0.59052072737510763</v>
      </c>
      <c r="F7" s="14">
        <v>140.57900092357815</v>
      </c>
      <c r="G7" s="14">
        <f t="shared" si="1"/>
        <v>83.0148138790573</v>
      </c>
      <c r="H7" s="15">
        <f t="shared" si="2"/>
        <v>434947193.22682875</v>
      </c>
      <c r="J7" s="5"/>
      <c r="K7" s="12">
        <v>14354.5</v>
      </c>
      <c r="L7" s="12">
        <v>8476.6297811059831</v>
      </c>
      <c r="M7" s="23">
        <v>0.59052072737510763</v>
      </c>
      <c r="N7" s="14">
        <v>140.57900092357815</v>
      </c>
      <c r="O7" s="14">
        <v>83.0148138790573</v>
      </c>
      <c r="P7" s="15">
        <v>434947193.22682875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14332.666666666666</v>
      </c>
      <c r="D8" s="12">
        <v>8996.3695100463974</v>
      </c>
      <c r="E8" s="13">
        <f t="shared" si="0"/>
        <v>0.62768288130004168</v>
      </c>
      <c r="F8" s="14">
        <v>143.8987209615365</v>
      </c>
      <c r="G8" s="14">
        <f t="shared" si="1"/>
        <v>90.322763788527936</v>
      </c>
      <c r="H8" s="15">
        <f t="shared" si="2"/>
        <v>472516614.01446009</v>
      </c>
      <c r="J8" s="5"/>
      <c r="K8" s="12">
        <v>14332.666666666666</v>
      </c>
      <c r="L8" s="12">
        <v>8996.3695100463974</v>
      </c>
      <c r="M8" s="23">
        <v>0.62768288130004168</v>
      </c>
      <c r="N8" s="14">
        <v>143.8987209615365</v>
      </c>
      <c r="O8" s="14">
        <v>90.322763788527936</v>
      </c>
      <c r="P8" s="15">
        <v>472516614.01446009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14255.083333333334</v>
      </c>
      <c r="D9" s="12">
        <v>9080.1652445091986</v>
      </c>
      <c r="E9" s="13">
        <f t="shared" si="0"/>
        <v>0.63697735272277367</v>
      </c>
      <c r="F9" s="14">
        <v>150.21893404740126</v>
      </c>
      <c r="G9" s="14">
        <f t="shared" si="1"/>
        <v>95.686058938350584</v>
      </c>
      <c r="H9" s="15">
        <f t="shared" si="2"/>
        <v>497864651.56161791</v>
      </c>
      <c r="J9" s="5"/>
      <c r="K9" s="12">
        <v>14255.083333333334</v>
      </c>
      <c r="L9" s="12">
        <v>9080.1652445091986</v>
      </c>
      <c r="M9" s="23">
        <v>0.63697735272277367</v>
      </c>
      <c r="N9" s="14">
        <v>150.21893404740126</v>
      </c>
      <c r="O9" s="14">
        <v>95.686058938350584</v>
      </c>
      <c r="P9" s="15">
        <v>497864651.56161791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14359.833333333334</v>
      </c>
      <c r="D10" s="12">
        <v>9023.4720302099249</v>
      </c>
      <c r="E10" s="13">
        <f>D10/C10</f>
        <v>0.62838278277672155</v>
      </c>
      <c r="F10" s="14">
        <v>151.91241784879958</v>
      </c>
      <c r="G10" s="14">
        <f>(H10/365)/C10</f>
        <v>95.459147866168763</v>
      </c>
      <c r="H10" s="15">
        <f>D10*F10*365</f>
        <v>500333770.52757514</v>
      </c>
      <c r="J10" s="5"/>
      <c r="K10" s="12">
        <v>14359.833333333334</v>
      </c>
      <c r="L10" s="12">
        <v>9023.4720302099249</v>
      </c>
      <c r="M10" s="23">
        <v>0.62838278277672155</v>
      </c>
      <c r="N10" s="14">
        <v>151.91241784879958</v>
      </c>
      <c r="O10" s="14">
        <v>95.459147866168763</v>
      </c>
      <c r="P10" s="15">
        <v>500333770.52757514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15004.083333333334</v>
      </c>
      <c r="D11" s="12">
        <v>9468.0859479166666</v>
      </c>
      <c r="E11" s="13">
        <f t="shared" ref="E11:E15" si="3">D11/C11</f>
        <v>0.6310339483973807</v>
      </c>
      <c r="F11" s="14">
        <v>152.48363401923899</v>
      </c>
      <c r="G11" s="14">
        <f t="shared" ref="G11:G15" si="4">(H11/365)/C11</f>
        <v>96.222349641141534</v>
      </c>
      <c r="H11" s="15">
        <f t="shared" ref="H11:H15" si="5">D11*F11*365</f>
        <v>526960775.6788609</v>
      </c>
      <c r="J11" s="11">
        <v>2019</v>
      </c>
      <c r="K11" s="12">
        <v>15004.083333333334</v>
      </c>
      <c r="L11" s="12">
        <v>9468.0859479166666</v>
      </c>
      <c r="M11" s="23">
        <v>0.6310339483973807</v>
      </c>
      <c r="N11" s="14">
        <v>152.48363401923899</v>
      </c>
      <c r="O11" s="14">
        <v>96.222349641141534</v>
      </c>
      <c r="P11" s="15">
        <v>526960775.6788609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14377.416666666666</v>
      </c>
      <c r="D12" s="12">
        <v>6870.3803529166662</v>
      </c>
      <c r="E12" s="13">
        <f t="shared" si="3"/>
        <v>0.47785916706756543</v>
      </c>
      <c r="F12" s="14">
        <v>143.74146568957454</v>
      </c>
      <c r="G12" s="14">
        <f t="shared" si="4"/>
        <v>68.688177067491125</v>
      </c>
      <c r="H12" s="15">
        <f t="shared" si="5"/>
        <v>360458867.74718076</v>
      </c>
      <c r="J12" s="11">
        <v>2020</v>
      </c>
      <c r="K12" s="12">
        <v>14377.416666666666</v>
      </c>
      <c r="L12" s="12">
        <v>6870.3803529166662</v>
      </c>
      <c r="M12" s="23">
        <v>0.47785916706756543</v>
      </c>
      <c r="N12" s="14">
        <v>143.74146568957454</v>
      </c>
      <c r="O12" s="14">
        <v>68.688177067491125</v>
      </c>
      <c r="P12" s="15">
        <v>360458867.74718076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15317.083333333334</v>
      </c>
      <c r="D13" s="12">
        <v>8833.3594647741866</v>
      </c>
      <c r="E13" s="13">
        <f t="shared" si="3"/>
        <v>0.57669983720404905</v>
      </c>
      <c r="F13" s="14">
        <v>169.58396774915212</v>
      </c>
      <c r="G13" s="14">
        <f t="shared" si="4"/>
        <v>97.799046593352713</v>
      </c>
      <c r="H13" s="15">
        <f t="shared" si="5"/>
        <v>546768593.50569057</v>
      </c>
      <c r="J13" s="11">
        <v>2021</v>
      </c>
      <c r="K13" s="12">
        <v>15317.083333333334</v>
      </c>
      <c r="L13" s="12">
        <v>8833.3594647741866</v>
      </c>
      <c r="M13" s="23">
        <v>0.57669983720404905</v>
      </c>
      <c r="N13" s="14">
        <v>169.58396774915212</v>
      </c>
      <c r="O13" s="14">
        <v>97.799046593352713</v>
      </c>
      <c r="P13" s="15">
        <v>546768593.50569057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15739.583333333334</v>
      </c>
      <c r="D14" s="12">
        <v>9463.9478900336599</v>
      </c>
      <c r="E14" s="13">
        <f t="shared" si="3"/>
        <v>0.60128325442967001</v>
      </c>
      <c r="F14" s="14">
        <v>191.15257811928694</v>
      </c>
      <c r="G14" s="14">
        <f t="shared" si="4"/>
        <v>114.93684426418659</v>
      </c>
      <c r="H14" s="15">
        <f t="shared" si="5"/>
        <v>660306184.00377989</v>
      </c>
      <c r="J14" s="11">
        <v>2022</v>
      </c>
      <c r="K14" s="12">
        <v>15739.583333333334</v>
      </c>
      <c r="L14" s="12">
        <v>9463.9478900336599</v>
      </c>
      <c r="M14" s="23">
        <v>0.60128325442967001</v>
      </c>
      <c r="N14" s="14">
        <v>191.15257811928694</v>
      </c>
      <c r="O14" s="14">
        <v>114.93684426418659</v>
      </c>
      <c r="P14" s="15">
        <v>660306184.00377989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15997.884408602151</v>
      </c>
      <c r="D15" s="12">
        <v>9456.797303647696</v>
      </c>
      <c r="E15" s="13">
        <f t="shared" si="3"/>
        <v>0.5911279930590525</v>
      </c>
      <c r="F15" s="14">
        <v>191.19394467382685</v>
      </c>
      <c r="G15" s="14">
        <f t="shared" si="4"/>
        <v>113.02009280008278</v>
      </c>
      <c r="H15" s="15">
        <f t="shared" si="5"/>
        <v>659950068.86980259</v>
      </c>
      <c r="J15" s="11">
        <v>2023</v>
      </c>
      <c r="K15" s="12">
        <v>15997.884408602151</v>
      </c>
      <c r="L15" s="12">
        <v>9456.797303647696</v>
      </c>
      <c r="M15" s="23">
        <v>0.5911279930590525</v>
      </c>
      <c r="N15" s="14">
        <v>191.19394467382685</v>
      </c>
      <c r="O15" s="14">
        <v>113.02009280008278</v>
      </c>
      <c r="P15" s="15">
        <v>659950068.86980259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15923.333333333334</v>
      </c>
      <c r="D16" s="12">
        <v>9294.3205069124433</v>
      </c>
      <c r="E16" s="13">
        <f t="shared" ref="E16:E18" si="6">D16/C16</f>
        <v>0.58369188864846822</v>
      </c>
      <c r="F16" s="14">
        <v>200.74082774960814</v>
      </c>
      <c r="G16" s="14">
        <f t="shared" ref="G16:G18" si="7">(H16/365)/C16</f>
        <v>117.17079287802564</v>
      </c>
      <c r="H16" s="15">
        <f t="shared" ref="H16:H18" si="8">D16*F16*365</f>
        <v>680998601.05363297</v>
      </c>
      <c r="J16" s="11">
        <v>2024</v>
      </c>
      <c r="K16" s="12">
        <v>15923.333333333334</v>
      </c>
      <c r="L16" s="12">
        <v>9294.3205069124433</v>
      </c>
      <c r="M16" s="23">
        <v>0.58369188864846822</v>
      </c>
      <c r="N16" s="14">
        <v>200.74082774960814</v>
      </c>
      <c r="O16" s="14">
        <v>117.17079287802564</v>
      </c>
      <c r="P16" s="15">
        <v>680998601.05363297</v>
      </c>
      <c r="Q16" s="12"/>
      <c r="R16" s="25"/>
      <c r="S16" s="25"/>
      <c r="T16" s="24"/>
      <c r="U16" s="26"/>
      <c r="V16" s="26"/>
      <c r="W16" s="27"/>
    </row>
    <row r="17" spans="2:23" s="6" customFormat="1" ht="10.25" customHeight="1" outlineLevel="1" x14ac:dyDescent="0.15">
      <c r="B17" s="11">
        <v>2025</v>
      </c>
      <c r="C17" s="12">
        <v>15857.916666666666</v>
      </c>
      <c r="D17" s="12">
        <v>9340.0887117271741</v>
      </c>
      <c r="E17" s="13">
        <f t="shared" si="6"/>
        <v>0.58898586163969679</v>
      </c>
      <c r="F17" s="14">
        <v>206.91227959875039</v>
      </c>
      <c r="G17" s="14">
        <f t="shared" si="7"/>
        <v>121.86840728330385</v>
      </c>
      <c r="H17" s="15">
        <f t="shared" si="8"/>
        <v>705391352.15427923</v>
      </c>
      <c r="J17" s="11">
        <v>2025</v>
      </c>
      <c r="K17" s="12">
        <v>15857.916666666666</v>
      </c>
      <c r="L17" s="12">
        <v>9340.0887117271741</v>
      </c>
      <c r="M17" s="23">
        <v>0.58898586163969679</v>
      </c>
      <c r="N17" s="14">
        <v>206.91227959875039</v>
      </c>
      <c r="O17" s="14">
        <v>121.86840728330385</v>
      </c>
      <c r="P17" s="15">
        <v>705391352.15427923</v>
      </c>
      <c r="Q17" s="12"/>
      <c r="R17" s="25">
        <f t="shared" ref="R17:W20" si="9">C17-K17</f>
        <v>0</v>
      </c>
      <c r="S17" s="25">
        <f t="shared" si="9"/>
        <v>0</v>
      </c>
      <c r="T17" s="24">
        <f t="shared" si="9"/>
        <v>0</v>
      </c>
      <c r="U17" s="26">
        <f t="shared" si="9"/>
        <v>0</v>
      </c>
      <c r="V17" s="26">
        <f t="shared" si="9"/>
        <v>0</v>
      </c>
      <c r="W17" s="27">
        <f t="shared" si="9"/>
        <v>0</v>
      </c>
    </row>
    <row r="18" spans="2:23" s="6" customFormat="1" outlineLevel="1" x14ac:dyDescent="0.15">
      <c r="B18" s="11">
        <v>2026</v>
      </c>
      <c r="C18" s="12">
        <v>15914.75</v>
      </c>
      <c r="D18" s="12">
        <v>9528.8999289471249</v>
      </c>
      <c r="E18" s="13">
        <f t="shared" si="6"/>
        <v>0.59874644144250611</v>
      </c>
      <c r="F18" s="14">
        <v>209.30565173062777</v>
      </c>
      <c r="G18" s="14">
        <f t="shared" si="7"/>
        <v>125.3210141475179</v>
      </c>
      <c r="H18" s="15">
        <f t="shared" si="8"/>
        <v>727975202.61503685</v>
      </c>
      <c r="J18" s="11">
        <v>2026</v>
      </c>
      <c r="K18" s="12">
        <v>16169.666666666666</v>
      </c>
      <c r="L18" s="12">
        <v>9442.8256531170337</v>
      </c>
      <c r="M18" s="23">
        <v>0.58398394028636136</v>
      </c>
      <c r="N18" s="14">
        <v>209.48647229821054</v>
      </c>
      <c r="O18" s="14">
        <v>122.33673552939865</v>
      </c>
      <c r="P18" s="15">
        <v>722022645.62846458</v>
      </c>
      <c r="Q18" s="12"/>
      <c r="R18" s="25">
        <f t="shared" si="9"/>
        <v>-254.91666666666606</v>
      </c>
      <c r="S18" s="25">
        <f t="shared" si="9"/>
        <v>86.07427583009121</v>
      </c>
      <c r="T18" s="24">
        <f t="shared" si="9"/>
        <v>1.4762501156144747E-2</v>
      </c>
      <c r="U18" s="26">
        <f t="shared" si="9"/>
        <v>-0.18082056758277076</v>
      </c>
      <c r="V18" s="26">
        <f t="shared" si="9"/>
        <v>2.984278618119248</v>
      </c>
      <c r="W18" s="27">
        <f t="shared" si="9"/>
        <v>5952556.9865722656</v>
      </c>
    </row>
    <row r="19" spans="2:23" s="6" customFormat="1" outlineLevel="1" x14ac:dyDescent="0.15">
      <c r="B19" s="11">
        <v>2027</v>
      </c>
      <c r="C19" s="12">
        <v>16075.875</v>
      </c>
      <c r="D19" s="12">
        <v>9654.6340092431983</v>
      </c>
      <c r="E19" s="13">
        <f t="shared" ref="E19" si="10">D19/C19</f>
        <v>0.60056662603081934</v>
      </c>
      <c r="F19" s="14">
        <v>212.2102741229574</v>
      </c>
      <c r="G19" s="14">
        <f t="shared" ref="G19" si="11">(H19/365)/C19</f>
        <v>127.44640833909983</v>
      </c>
      <c r="H19" s="15">
        <f t="shared" ref="H19" si="12">D19*F19*365</f>
        <v>747816573.32528913</v>
      </c>
      <c r="J19" s="11">
        <v>2027</v>
      </c>
      <c r="K19" s="12">
        <v>16416.100000000002</v>
      </c>
      <c r="L19" s="12">
        <v>9593.4034913884607</v>
      </c>
      <c r="M19" s="23">
        <v>0.58438992765568309</v>
      </c>
      <c r="N19" s="14">
        <v>212.32138659220396</v>
      </c>
      <c r="O19" s="14">
        <v>124.0784797503724</v>
      </c>
      <c r="P19" s="15">
        <v>743462926.97198236</v>
      </c>
      <c r="Q19" s="12"/>
      <c r="R19" s="25">
        <f t="shared" si="9"/>
        <v>-340.22500000000218</v>
      </c>
      <c r="S19" s="25">
        <f t="shared" si="9"/>
        <v>61.230517854737627</v>
      </c>
      <c r="T19" s="24">
        <f t="shared" si="9"/>
        <v>1.6176698375136245E-2</v>
      </c>
      <c r="U19" s="26">
        <f t="shared" si="9"/>
        <v>-0.11111246924656371</v>
      </c>
      <c r="V19" s="26">
        <f t="shared" si="9"/>
        <v>3.3679285887274375</v>
      </c>
      <c r="W19" s="27">
        <f t="shared" si="9"/>
        <v>4353646.3533067703</v>
      </c>
    </row>
    <row r="20" spans="2:23" s="6" customFormat="1" outlineLevel="1" x14ac:dyDescent="0.15">
      <c r="B20" s="11">
        <v>2028</v>
      </c>
      <c r="C20" s="12">
        <v>16208.149999999996</v>
      </c>
      <c r="D20" s="12">
        <v>9825.2237466805873</v>
      </c>
      <c r="E20" s="13">
        <f t="shared" ref="E20" si="13">D20/C20</f>
        <v>0.60619032688373375</v>
      </c>
      <c r="F20" s="14">
        <v>216.17351151709028</v>
      </c>
      <c r="G20" s="14">
        <f t="shared" ref="G20" si="14">(H20/365)/C20</f>
        <v>131.04229161014956</v>
      </c>
      <c r="H20" s="15">
        <f t="shared" ref="H20" si="15">D20*F20*365</f>
        <v>775242888.34778142</v>
      </c>
      <c r="J20" s="11">
        <v>2028</v>
      </c>
      <c r="K20" s="12">
        <v>16561.713131470882</v>
      </c>
      <c r="L20" s="12">
        <v>9775.8943682385816</v>
      </c>
      <c r="M20" s="23">
        <v>0.59027072203431907</v>
      </c>
      <c r="N20" s="14">
        <v>215.86263618254355</v>
      </c>
      <c r="O20" s="14">
        <v>127.41739411970151</v>
      </c>
      <c r="P20" s="15">
        <v>770241370.22007239</v>
      </c>
      <c r="Q20" s="12"/>
      <c r="R20" s="25">
        <f t="shared" si="9"/>
        <v>-353.56313147088622</v>
      </c>
      <c r="S20" s="25">
        <f t="shared" si="9"/>
        <v>49.329378442005691</v>
      </c>
      <c r="T20" s="24">
        <f t="shared" si="9"/>
        <v>1.5919604849414681E-2</v>
      </c>
      <c r="U20" s="26">
        <f t="shared" si="9"/>
        <v>0.31087533454672212</v>
      </c>
      <c r="V20" s="26">
        <f t="shared" si="9"/>
        <v>3.6248974904480491</v>
      </c>
      <c r="W20" s="27">
        <f t="shared" si="9"/>
        <v>5001518.1277090311</v>
      </c>
    </row>
    <row r="21" spans="2:23" s="6" customFormat="1" outlineLevel="1" x14ac:dyDescent="0.15">
      <c r="B21" s="11">
        <v>2029</v>
      </c>
      <c r="C21" s="12">
        <v>16248.667333598705</v>
      </c>
      <c r="D21" s="12">
        <v>9995.0871745330041</v>
      </c>
      <c r="E21" s="13">
        <f t="shared" ref="E21" si="16">D21/C21</f>
        <v>0.61513273484683517</v>
      </c>
      <c r="F21" s="14">
        <v>219.92528473857803</v>
      </c>
      <c r="G21" s="14">
        <f t="shared" ref="G21" si="17">(H21/365)/C21</f>
        <v>135.28324186321046</v>
      </c>
      <c r="H21" s="15">
        <f t="shared" ref="H21" si="18">D21*F21*365</f>
        <v>802332923.38881934</v>
      </c>
      <c r="J21" s="11">
        <v>2029</v>
      </c>
      <c r="K21" s="12">
        <v>16603.114306553412</v>
      </c>
      <c r="L21" s="12">
        <v>9945.4493350294797</v>
      </c>
      <c r="M21" s="23">
        <v>0.5990110741515472</v>
      </c>
      <c r="N21" s="14">
        <v>219.62179227554708</v>
      </c>
      <c r="O21" s="14">
        <v>131.55588569806341</v>
      </c>
      <c r="P21" s="15">
        <v>797246653.89986014</v>
      </c>
      <c r="Q21" s="12"/>
      <c r="R21" s="25">
        <f t="shared" ref="R21" si="19">C21-K21</f>
        <v>-354.44697295470723</v>
      </c>
      <c r="S21" s="25">
        <f t="shared" ref="S21" si="20">D21-L21</f>
        <v>49.637839503524447</v>
      </c>
      <c r="T21" s="24">
        <f t="shared" ref="T21" si="21">E21-M21</f>
        <v>1.6121660695287976E-2</v>
      </c>
      <c r="U21" s="26">
        <f t="shared" ref="U21" si="22">F21-N21</f>
        <v>0.30349246303094901</v>
      </c>
      <c r="V21" s="26">
        <f t="shared" ref="V21" si="23">G21-O21</f>
        <v>3.7273561651470573</v>
      </c>
      <c r="W21" s="27">
        <f t="shared" ref="W21" si="24">H21-P21</f>
        <v>5086269.4889591932</v>
      </c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f t="shared" ref="C24:H33" si="25">C6/C5-1</f>
        <v>1.3628965637883184E-2</v>
      </c>
      <c r="D24" s="13">
        <f t="shared" si="25"/>
        <v>0.16443663293442956</v>
      </c>
      <c r="E24" s="13">
        <f t="shared" si="25"/>
        <v>0.14877995046406567</v>
      </c>
      <c r="F24" s="13" t="e">
        <f t="shared" si="25"/>
        <v>#DIV/0!</v>
      </c>
      <c r="G24" s="13" t="e">
        <f t="shared" si="25"/>
        <v>#DIV/0!</v>
      </c>
      <c r="H24" s="13" t="e">
        <f t="shared" si="25"/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f t="shared" si="25"/>
        <v>-2.6785605297235948E-3</v>
      </c>
      <c r="D25" s="13">
        <f t="shared" si="25"/>
        <v>7.1115814066079919E-2</v>
      </c>
      <c r="E25" s="13">
        <f t="shared" si="25"/>
        <v>7.399256816839217E-2</v>
      </c>
      <c r="F25" s="13">
        <f t="shared" si="25"/>
        <v>2.2677315434831868E-2</v>
      </c>
      <c r="G25" s="13">
        <f t="shared" si="25"/>
        <v>9.8347836411412093E-2</v>
      </c>
      <c r="H25" s="13">
        <f t="shared" si="25"/>
        <v>9.5405845248893284E-2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f t="shared" si="25"/>
        <v>-1.5210096717638288E-3</v>
      </c>
      <c r="D26" s="13">
        <f t="shared" si="25"/>
        <v>6.1314430659563657E-2</v>
      </c>
      <c r="E26" s="13">
        <f t="shared" si="25"/>
        <v>6.2931159233176492E-2</v>
      </c>
      <c r="F26" s="13">
        <f t="shared" si="25"/>
        <v>2.3614622498014715E-2</v>
      </c>
      <c r="G26" s="13">
        <f t="shared" si="25"/>
        <v>8.8031877299844963E-2</v>
      </c>
      <c r="H26" s="13">
        <f t="shared" si="25"/>
        <v>8.6376970291284438E-2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f t="shared" si="25"/>
        <v>-5.4130424670914001E-3</v>
      </c>
      <c r="D27" s="13">
        <f t="shared" si="25"/>
        <v>9.3143944753741881E-3</v>
      </c>
      <c r="E27" s="13">
        <f t="shared" si="25"/>
        <v>1.480759106171825E-2</v>
      </c>
      <c r="F27" s="13">
        <f t="shared" si="25"/>
        <v>4.3921259644511546E-2</v>
      </c>
      <c r="G27" s="13">
        <f t="shared" si="25"/>
        <v>5.937921875796115E-2</v>
      </c>
      <c r="H27" s="13">
        <f t="shared" si="25"/>
        <v>5.3644754058070232E-2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f t="shared" si="25"/>
        <v>7.3482558853275037E-3</v>
      </c>
      <c r="D28" s="13">
        <f t="shared" si="25"/>
        <v>-6.2436324419928857E-3</v>
      </c>
      <c r="E28" s="13">
        <f t="shared" si="25"/>
        <v>-1.3492740219592458E-2</v>
      </c>
      <c r="F28" s="13">
        <f t="shared" si="25"/>
        <v>1.1273437746961656E-2</v>
      </c>
      <c r="G28" s="13">
        <f t="shared" si="25"/>
        <v>-2.3714120395325056E-3</v>
      </c>
      <c r="H28" s="13">
        <f t="shared" si="25"/>
        <v>4.9594181033187912E-3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f>B11</f>
        <v>2019</v>
      </c>
      <c r="C29" s="13">
        <f t="shared" si="25"/>
        <v>4.4864726842233527E-2</v>
      </c>
      <c r="D29" s="13">
        <f t="shared" si="25"/>
        <v>4.9273042152533586E-2</v>
      </c>
      <c r="E29" s="13">
        <f t="shared" si="25"/>
        <v>4.2190296954733864E-3</v>
      </c>
      <c r="F29" s="13">
        <f t="shared" si="25"/>
        <v>3.7601677237995013E-3</v>
      </c>
      <c r="G29" s="13">
        <f t="shared" si="25"/>
        <v>7.9950616785597894E-3</v>
      </c>
      <c r="H29" s="13">
        <f t="shared" si="25"/>
        <v>5.3218484779088637E-2</v>
      </c>
      <c r="J29" s="11">
        <f>J11</f>
        <v>2019</v>
      </c>
      <c r="K29" s="13">
        <f t="shared" ref="K29:P39" si="26">K11/K10-1</f>
        <v>4.4864726842233527E-2</v>
      </c>
      <c r="L29" s="13">
        <f t="shared" si="26"/>
        <v>4.9273042152533586E-2</v>
      </c>
      <c r="M29" s="13">
        <f t="shared" si="26"/>
        <v>4.2190296954733864E-3</v>
      </c>
      <c r="N29" s="13">
        <f t="shared" si="26"/>
        <v>3.7601677237995013E-3</v>
      </c>
      <c r="O29" s="13">
        <f t="shared" si="26"/>
        <v>7.9950616785597894E-3</v>
      </c>
      <c r="P29" s="13">
        <f t="shared" si="26"/>
        <v>5.3218484779088637E-2</v>
      </c>
      <c r="Q29" s="13"/>
      <c r="R29" s="22">
        <f t="shared" ref="R29:R38" si="27">C29-K29</f>
        <v>0</v>
      </c>
      <c r="S29" s="22">
        <f t="shared" ref="S29:S38" si="28">D29-L29</f>
        <v>0</v>
      </c>
      <c r="T29" s="22">
        <f t="shared" ref="T29:T38" si="29">E29-M29</f>
        <v>0</v>
      </c>
      <c r="U29" s="22">
        <f t="shared" ref="U29:U38" si="30">F29-N29</f>
        <v>0</v>
      </c>
      <c r="V29" s="22">
        <f t="shared" ref="V29:V38" si="31">G29-O29</f>
        <v>0</v>
      </c>
      <c r="W29" s="22">
        <f t="shared" ref="W29:W38" si="32">H29-P29</f>
        <v>0</v>
      </c>
    </row>
    <row r="30" spans="2:23" s="6" customFormat="1" x14ac:dyDescent="0.15">
      <c r="B30" s="11">
        <f>B12</f>
        <v>2020</v>
      </c>
      <c r="C30" s="13">
        <f t="shared" si="25"/>
        <v>-4.1766408033368729E-2</v>
      </c>
      <c r="D30" s="13">
        <f t="shared" si="25"/>
        <v>-0.27436438677149877</v>
      </c>
      <c r="E30" s="13">
        <f t="shared" si="25"/>
        <v>-0.24273619782078126</v>
      </c>
      <c r="F30" s="13">
        <f t="shared" si="25"/>
        <v>-5.7331846698783773E-2</v>
      </c>
      <c r="G30" s="13">
        <f t="shared" si="25"/>
        <v>-0.2861515300378582</v>
      </c>
      <c r="H30" s="13">
        <f t="shared" si="25"/>
        <v>-0.31596641650829305</v>
      </c>
      <c r="J30" s="11">
        <f>J12</f>
        <v>2020</v>
      </c>
      <c r="K30" s="13">
        <f t="shared" si="26"/>
        <v>-4.1766408033368729E-2</v>
      </c>
      <c r="L30" s="13">
        <f t="shared" si="26"/>
        <v>-0.27436438677149877</v>
      </c>
      <c r="M30" s="13">
        <f t="shared" si="26"/>
        <v>-0.24273619782078126</v>
      </c>
      <c r="N30" s="13">
        <f t="shared" si="26"/>
        <v>-5.7331846698783773E-2</v>
      </c>
      <c r="O30" s="13">
        <f t="shared" si="26"/>
        <v>-0.2861515300378582</v>
      </c>
      <c r="P30" s="13">
        <f t="shared" si="26"/>
        <v>-0.31596641650829305</v>
      </c>
      <c r="Q30" s="13"/>
      <c r="R30" s="22">
        <f t="shared" si="27"/>
        <v>0</v>
      </c>
      <c r="S30" s="22">
        <f t="shared" si="28"/>
        <v>0</v>
      </c>
      <c r="T30" s="22">
        <f t="shared" si="29"/>
        <v>0</v>
      </c>
      <c r="U30" s="22">
        <f t="shared" si="30"/>
        <v>0</v>
      </c>
      <c r="V30" s="22">
        <f t="shared" si="31"/>
        <v>0</v>
      </c>
      <c r="W30" s="22">
        <f t="shared" si="32"/>
        <v>0</v>
      </c>
    </row>
    <row r="31" spans="2:23" s="6" customFormat="1" x14ac:dyDescent="0.15">
      <c r="B31" s="11">
        <f>B13</f>
        <v>2021</v>
      </c>
      <c r="C31" s="13">
        <f t="shared" si="25"/>
        <v>6.5357128366825279E-2</v>
      </c>
      <c r="D31" s="13">
        <f t="shared" si="25"/>
        <v>0.28571622108580663</v>
      </c>
      <c r="E31" s="13">
        <f t="shared" si="25"/>
        <v>0.20684058598902699</v>
      </c>
      <c r="F31" s="13">
        <f t="shared" si="25"/>
        <v>0.17978460102380822</v>
      </c>
      <c r="G31" s="13">
        <f t="shared" si="25"/>
        <v>0.42381193924040295</v>
      </c>
      <c r="H31" s="13">
        <f t="shared" si="25"/>
        <v>0.51686819892355662</v>
      </c>
      <c r="J31" s="11">
        <f>J13</f>
        <v>2021</v>
      </c>
      <c r="K31" s="13">
        <f t="shared" si="26"/>
        <v>6.5357128366825279E-2</v>
      </c>
      <c r="L31" s="13">
        <f t="shared" si="26"/>
        <v>0.28571622108580663</v>
      </c>
      <c r="M31" s="13">
        <f t="shared" si="26"/>
        <v>0.20684058598902699</v>
      </c>
      <c r="N31" s="13">
        <f t="shared" si="26"/>
        <v>0.17978460102380822</v>
      </c>
      <c r="O31" s="13">
        <f t="shared" si="26"/>
        <v>0.42381193924040295</v>
      </c>
      <c r="P31" s="13">
        <f t="shared" si="26"/>
        <v>0.51686819892355662</v>
      </c>
      <c r="Q31" s="13"/>
      <c r="R31" s="22">
        <f t="shared" si="27"/>
        <v>0</v>
      </c>
      <c r="S31" s="22">
        <f t="shared" si="28"/>
        <v>0</v>
      </c>
      <c r="T31" s="22">
        <f t="shared" si="29"/>
        <v>0</v>
      </c>
      <c r="U31" s="22">
        <f t="shared" si="30"/>
        <v>0</v>
      </c>
      <c r="V31" s="22">
        <f t="shared" si="31"/>
        <v>0</v>
      </c>
      <c r="W31" s="22">
        <f t="shared" si="32"/>
        <v>0</v>
      </c>
    </row>
    <row r="32" spans="2:23" s="6" customFormat="1" outlineLevel="1" x14ac:dyDescent="0.15">
      <c r="B32" s="11">
        <f>B14</f>
        <v>2022</v>
      </c>
      <c r="C32" s="13">
        <f t="shared" si="25"/>
        <v>2.7583580424906939E-2</v>
      </c>
      <c r="D32" s="13">
        <f t="shared" si="25"/>
        <v>7.1387157714360328E-2</v>
      </c>
      <c r="E32" s="13">
        <f t="shared" si="25"/>
        <v>4.2627751283589754E-2</v>
      </c>
      <c r="F32" s="13">
        <f t="shared" si="25"/>
        <v>0.12718543301238849</v>
      </c>
      <c r="G32" s="13">
        <f t="shared" si="25"/>
        <v>0.1752348133013264</v>
      </c>
      <c r="H32" s="13">
        <f t="shared" si="25"/>
        <v>0.20765199729217376</v>
      </c>
      <c r="J32" s="11">
        <f>J14</f>
        <v>2022</v>
      </c>
      <c r="K32" s="13">
        <f t="shared" si="26"/>
        <v>2.7583580424906939E-2</v>
      </c>
      <c r="L32" s="13">
        <f t="shared" si="26"/>
        <v>7.1387157714360328E-2</v>
      </c>
      <c r="M32" s="13">
        <f t="shared" si="26"/>
        <v>4.2627751283589754E-2</v>
      </c>
      <c r="N32" s="13">
        <f t="shared" si="26"/>
        <v>0.12718543301238849</v>
      </c>
      <c r="O32" s="13">
        <f t="shared" si="26"/>
        <v>0.1752348133013264</v>
      </c>
      <c r="P32" s="13">
        <f t="shared" si="26"/>
        <v>0.20765199729217376</v>
      </c>
      <c r="Q32" s="13"/>
      <c r="R32" s="22">
        <f t="shared" si="27"/>
        <v>0</v>
      </c>
      <c r="S32" s="22">
        <f t="shared" si="28"/>
        <v>0</v>
      </c>
      <c r="T32" s="22">
        <f t="shared" si="29"/>
        <v>0</v>
      </c>
      <c r="U32" s="22">
        <f t="shared" si="30"/>
        <v>0</v>
      </c>
      <c r="V32" s="22">
        <f t="shared" si="31"/>
        <v>0</v>
      </c>
      <c r="W32" s="22">
        <f t="shared" si="32"/>
        <v>0</v>
      </c>
    </row>
    <row r="33" spans="2:23" s="6" customFormat="1" outlineLevel="1" x14ac:dyDescent="0.15">
      <c r="B33" s="11">
        <v>2023</v>
      </c>
      <c r="C33" s="13">
        <f t="shared" si="25"/>
        <v>1.6410922055464239E-2</v>
      </c>
      <c r="D33" s="13">
        <f t="shared" si="25"/>
        <v>-7.5556062533843615E-4</v>
      </c>
      <c r="E33" s="13">
        <f t="shared" si="25"/>
        <v>-1.6889313473813616E-2</v>
      </c>
      <c r="F33" s="13">
        <f t="shared" si="25"/>
        <v>2.1640594621796794E-4</v>
      </c>
      <c r="G33" s="13">
        <f t="shared" si="25"/>
        <v>-1.6676562475459011E-2</v>
      </c>
      <c r="H33" s="13">
        <f t="shared" si="25"/>
        <v>-5.3931818693253586E-4</v>
      </c>
      <c r="J33" s="11">
        <v>2023</v>
      </c>
      <c r="K33" s="13">
        <f t="shared" si="26"/>
        <v>1.6410922055464239E-2</v>
      </c>
      <c r="L33" s="13">
        <f t="shared" si="26"/>
        <v>-7.5556062533843615E-4</v>
      </c>
      <c r="M33" s="13">
        <f t="shared" si="26"/>
        <v>-1.6889313473813616E-2</v>
      </c>
      <c r="N33" s="13">
        <f t="shared" si="26"/>
        <v>2.1640594621796794E-4</v>
      </c>
      <c r="O33" s="13">
        <f t="shared" si="26"/>
        <v>-1.6676562475459011E-2</v>
      </c>
      <c r="P33" s="13">
        <f t="shared" si="26"/>
        <v>-5.3931818693253586E-4</v>
      </c>
      <c r="Q33" s="13"/>
      <c r="R33" s="22">
        <f t="shared" si="27"/>
        <v>0</v>
      </c>
      <c r="S33" s="22">
        <f t="shared" si="28"/>
        <v>0</v>
      </c>
      <c r="T33" s="22">
        <f t="shared" si="29"/>
        <v>0</v>
      </c>
      <c r="U33" s="22">
        <f t="shared" si="30"/>
        <v>0</v>
      </c>
      <c r="V33" s="22">
        <f t="shared" si="31"/>
        <v>0</v>
      </c>
      <c r="W33" s="22">
        <f t="shared" si="32"/>
        <v>0</v>
      </c>
    </row>
    <row r="34" spans="2:23" s="6" customFormat="1" outlineLevel="1" x14ac:dyDescent="0.15">
      <c r="B34" s="11">
        <v>2024</v>
      </c>
      <c r="C34" s="13">
        <f t="shared" ref="C34:H39" si="33">C16/C15-1</f>
        <v>-4.6600583780146421E-3</v>
      </c>
      <c r="D34" s="13">
        <f t="shared" si="33"/>
        <v>-1.7180953711737224E-2</v>
      </c>
      <c r="E34" s="13">
        <f t="shared" si="33"/>
        <v>-1.257951661551826E-2</v>
      </c>
      <c r="F34" s="13">
        <f t="shared" si="33"/>
        <v>4.99329782230713E-2</v>
      </c>
      <c r="G34" s="13">
        <f t="shared" si="33"/>
        <v>3.6725328878333796E-2</v>
      </c>
      <c r="H34" s="13">
        <f t="shared" si="33"/>
        <v>3.1894128323794346E-2</v>
      </c>
      <c r="J34" s="11">
        <v>2024</v>
      </c>
      <c r="K34" s="13">
        <f t="shared" si="26"/>
        <v>-4.6600583780146421E-3</v>
      </c>
      <c r="L34" s="13">
        <f t="shared" si="26"/>
        <v>-1.7180953711737224E-2</v>
      </c>
      <c r="M34" s="13">
        <f t="shared" si="26"/>
        <v>-1.257951661551826E-2</v>
      </c>
      <c r="N34" s="13">
        <f t="shared" si="26"/>
        <v>4.99329782230713E-2</v>
      </c>
      <c r="O34" s="13">
        <f t="shared" si="26"/>
        <v>3.6725328878333796E-2</v>
      </c>
      <c r="P34" s="13">
        <f t="shared" si="26"/>
        <v>3.1894128323794346E-2</v>
      </c>
      <c r="Q34" s="13"/>
      <c r="R34" s="22">
        <f t="shared" si="27"/>
        <v>0</v>
      </c>
      <c r="S34" s="22">
        <f t="shared" si="28"/>
        <v>0</v>
      </c>
      <c r="T34" s="22">
        <f t="shared" si="29"/>
        <v>0</v>
      </c>
      <c r="U34" s="22">
        <f t="shared" si="30"/>
        <v>0</v>
      </c>
      <c r="V34" s="22">
        <f t="shared" si="31"/>
        <v>0</v>
      </c>
      <c r="W34" s="22">
        <f t="shared" si="32"/>
        <v>0</v>
      </c>
    </row>
    <row r="35" spans="2:23" s="6" customFormat="1" outlineLevel="1" x14ac:dyDescent="0.15">
      <c r="B35" s="11">
        <v>2025</v>
      </c>
      <c r="C35" s="13">
        <f t="shared" si="33"/>
        <v>-4.1082269206615951E-3</v>
      </c>
      <c r="D35" s="13">
        <f t="shared" si="33"/>
        <v>4.9243196187060967E-3</v>
      </c>
      <c r="E35" s="13">
        <f t="shared" si="33"/>
        <v>9.0698073661545919E-3</v>
      </c>
      <c r="F35" s="13">
        <f t="shared" si="33"/>
        <v>3.0743381495069499E-2</v>
      </c>
      <c r="G35" s="13">
        <f t="shared" si="33"/>
        <v>4.0092025409168341E-2</v>
      </c>
      <c r="H35" s="13">
        <f t="shared" si="33"/>
        <v>3.5819091350417054E-2</v>
      </c>
      <c r="J35" s="11">
        <v>2025</v>
      </c>
      <c r="K35" s="13">
        <f t="shared" si="26"/>
        <v>-4.1082269206615951E-3</v>
      </c>
      <c r="L35" s="13">
        <f t="shared" si="26"/>
        <v>4.9243196187060967E-3</v>
      </c>
      <c r="M35" s="13">
        <f t="shared" si="26"/>
        <v>9.0698073661545919E-3</v>
      </c>
      <c r="N35" s="13">
        <f t="shared" si="26"/>
        <v>3.0743381495069499E-2</v>
      </c>
      <c r="O35" s="13">
        <f t="shared" si="26"/>
        <v>4.0092025409168341E-2</v>
      </c>
      <c r="P35" s="13">
        <f t="shared" si="26"/>
        <v>3.5819091350417054E-2</v>
      </c>
      <c r="Q35" s="13"/>
      <c r="R35" s="22">
        <f t="shared" si="27"/>
        <v>0</v>
      </c>
      <c r="S35" s="22">
        <f t="shared" si="28"/>
        <v>0</v>
      </c>
      <c r="T35" s="22">
        <f t="shared" si="29"/>
        <v>0</v>
      </c>
      <c r="U35" s="22">
        <f t="shared" si="30"/>
        <v>0</v>
      </c>
      <c r="V35" s="22">
        <f t="shared" si="31"/>
        <v>0</v>
      </c>
      <c r="W35" s="22">
        <f t="shared" si="32"/>
        <v>0</v>
      </c>
    </row>
    <row r="36" spans="2:23" s="6" customFormat="1" outlineLevel="1" x14ac:dyDescent="0.15">
      <c r="B36" s="11">
        <v>2026</v>
      </c>
      <c r="C36" s="13">
        <f t="shared" si="33"/>
        <v>3.5839091936205048E-3</v>
      </c>
      <c r="D36" s="13">
        <f t="shared" si="33"/>
        <v>2.0215141745161924E-2</v>
      </c>
      <c r="E36" s="13">
        <f t="shared" si="33"/>
        <v>1.6571840579732378E-2</v>
      </c>
      <c r="F36" s="13">
        <f t="shared" si="33"/>
        <v>1.1567085996629478E-2</v>
      </c>
      <c r="G36" s="13">
        <f t="shared" si="33"/>
        <v>2.8330614481469896E-2</v>
      </c>
      <c r="H36" s="13">
        <f t="shared" si="33"/>
        <v>3.2016058024791683E-2</v>
      </c>
      <c r="J36" s="11">
        <v>2026</v>
      </c>
      <c r="K36" s="13">
        <f t="shared" si="26"/>
        <v>1.9658950576736167E-2</v>
      </c>
      <c r="L36" s="13">
        <f t="shared" si="26"/>
        <v>1.0999568051303976E-2</v>
      </c>
      <c r="M36" s="13">
        <f t="shared" si="26"/>
        <v>-8.4924302586999456E-3</v>
      </c>
      <c r="N36" s="13">
        <f t="shared" si="26"/>
        <v>1.2440985641123392E-2</v>
      </c>
      <c r="O36" s="13">
        <f t="shared" si="26"/>
        <v>3.8429011795164669E-3</v>
      </c>
      <c r="P36" s="13">
        <f t="shared" si="26"/>
        <v>2.3577399160612078E-2</v>
      </c>
      <c r="Q36" s="13"/>
      <c r="R36" s="22">
        <f t="shared" si="27"/>
        <v>-1.6075041383115662E-2</v>
      </c>
      <c r="S36" s="22">
        <f t="shared" si="28"/>
        <v>9.215573693857948E-3</v>
      </c>
      <c r="T36" s="22">
        <f t="shared" si="29"/>
        <v>2.5064270838432323E-2</v>
      </c>
      <c r="U36" s="22">
        <f t="shared" si="30"/>
        <v>-8.73899644493914E-4</v>
      </c>
      <c r="V36" s="22">
        <f t="shared" si="31"/>
        <v>2.4487713301953429E-2</v>
      </c>
      <c r="W36" s="22">
        <f t="shared" si="32"/>
        <v>8.4386588641796045E-3</v>
      </c>
    </row>
    <row r="37" spans="2:23" s="6" customFormat="1" outlineLevel="1" x14ac:dyDescent="0.15">
      <c r="B37" s="11">
        <v>2027</v>
      </c>
      <c r="C37" s="13">
        <f t="shared" si="33"/>
        <v>1.0124255800436632E-2</v>
      </c>
      <c r="D37" s="13">
        <f t="shared" si="33"/>
        <v>1.3195025788246051E-2</v>
      </c>
      <c r="E37" s="13">
        <f t="shared" si="33"/>
        <v>3.0399923278507934E-3</v>
      </c>
      <c r="F37" s="13">
        <f t="shared" si="33"/>
        <v>1.3877419784477762E-2</v>
      </c>
      <c r="G37" s="13">
        <f t="shared" si="33"/>
        <v>1.6959599362003974E-2</v>
      </c>
      <c r="H37" s="13">
        <f t="shared" si="33"/>
        <v>2.725555848465433E-2</v>
      </c>
      <c r="J37" s="11">
        <v>2027</v>
      </c>
      <c r="K37" s="13">
        <f t="shared" si="26"/>
        <v>1.5240470840462761E-2</v>
      </c>
      <c r="L37" s="13">
        <f t="shared" si="26"/>
        <v>1.5946269030364002E-2</v>
      </c>
      <c r="M37" s="13">
        <f t="shared" si="26"/>
        <v>6.9520296931901981E-4</v>
      </c>
      <c r="N37" s="13">
        <f t="shared" si="26"/>
        <v>1.3532684296472475E-2</v>
      </c>
      <c r="O37" s="13">
        <f t="shared" si="26"/>
        <v>1.423729522809758E-2</v>
      </c>
      <c r="P37" s="13">
        <f t="shared" si="26"/>
        <v>2.9694749151331301E-2</v>
      </c>
      <c r="Q37" s="13"/>
      <c r="R37" s="22">
        <f t="shared" si="27"/>
        <v>-5.1162150400261286E-3</v>
      </c>
      <c r="S37" s="22">
        <f t="shared" si="28"/>
        <v>-2.7512432421179511E-3</v>
      </c>
      <c r="T37" s="22">
        <f t="shared" si="29"/>
        <v>2.3447893585317736E-3</v>
      </c>
      <c r="U37" s="22">
        <f t="shared" si="30"/>
        <v>3.4473548800528775E-4</v>
      </c>
      <c r="V37" s="22">
        <f t="shared" si="31"/>
        <v>2.7223041339063947E-3</v>
      </c>
      <c r="W37" s="22">
        <f t="shared" si="32"/>
        <v>-2.4391906666769714E-3</v>
      </c>
    </row>
    <row r="38" spans="2:23" s="6" customFormat="1" outlineLevel="1" x14ac:dyDescent="0.15">
      <c r="B38" s="11">
        <v>2028</v>
      </c>
      <c r="C38" s="13">
        <f t="shared" si="33"/>
        <v>8.2281679846352151E-3</v>
      </c>
      <c r="D38" s="13">
        <f t="shared" si="33"/>
        <v>1.7669208099868827E-2</v>
      </c>
      <c r="E38" s="13">
        <f t="shared" si="33"/>
        <v>9.3639916191843309E-3</v>
      </c>
      <c r="F38" s="13">
        <f t="shared" si="33"/>
        <v>1.8675992057936464E-2</v>
      </c>
      <c r="G38" s="13">
        <f t="shared" si="33"/>
        <v>2.8214865510231446E-2</v>
      </c>
      <c r="H38" s="13">
        <f t="shared" si="33"/>
        <v>3.6675190147948511E-2</v>
      </c>
      <c r="J38" s="11">
        <v>2028</v>
      </c>
      <c r="K38" s="13">
        <f t="shared" si="26"/>
        <v>8.8701415970224851E-3</v>
      </c>
      <c r="L38" s="13">
        <f t="shared" si="26"/>
        <v>1.9022537414790763E-2</v>
      </c>
      <c r="M38" s="13">
        <f t="shared" si="26"/>
        <v>1.0063134390811967E-2</v>
      </c>
      <c r="N38" s="13">
        <f t="shared" si="26"/>
        <v>1.6678722983008321E-2</v>
      </c>
      <c r="O38" s="13">
        <f t="shared" si="26"/>
        <v>2.6909697604665439E-2</v>
      </c>
      <c r="P38" s="13">
        <f t="shared" si="26"/>
        <v>3.601853202977412E-2</v>
      </c>
      <c r="Q38" s="13"/>
      <c r="R38" s="22">
        <f t="shared" si="27"/>
        <v>-6.4197361238726991E-4</v>
      </c>
      <c r="S38" s="22">
        <f t="shared" si="28"/>
        <v>-1.3533293149219361E-3</v>
      </c>
      <c r="T38" s="22">
        <f t="shared" si="29"/>
        <v>-6.9914277162763661E-4</v>
      </c>
      <c r="U38" s="22">
        <f t="shared" si="30"/>
        <v>1.997269074928143E-3</v>
      </c>
      <c r="V38" s="22">
        <f t="shared" si="31"/>
        <v>1.305167905566007E-3</v>
      </c>
      <c r="W38" s="22">
        <f t="shared" si="32"/>
        <v>6.5665811817439135E-4</v>
      </c>
    </row>
    <row r="39" spans="2:23" s="6" customFormat="1" outlineLevel="1" x14ac:dyDescent="0.15">
      <c r="B39" s="11">
        <v>2029</v>
      </c>
      <c r="C39" s="13">
        <f t="shared" si="33"/>
        <v>2.4998123535819872E-3</v>
      </c>
      <c r="D39" s="13">
        <f t="shared" si="33"/>
        <v>1.7288504794590986E-2</v>
      </c>
      <c r="E39" s="13">
        <f t="shared" si="33"/>
        <v>1.4751815669959534E-2</v>
      </c>
      <c r="F39" s="13">
        <f t="shared" si="33"/>
        <v>1.7355378996982918E-2</v>
      </c>
      <c r="G39" s="13">
        <f t="shared" si="33"/>
        <v>3.2363218018788276E-2</v>
      </c>
      <c r="H39" s="13">
        <f t="shared" si="33"/>
        <v>3.4943932344575268E-2</v>
      </c>
      <c r="J39" s="11">
        <v>2029</v>
      </c>
      <c r="K39" s="13">
        <f t="shared" si="26"/>
        <v>2.4998123535819872E-3</v>
      </c>
      <c r="L39" s="13">
        <f t="shared" si="26"/>
        <v>1.7344189738974114E-2</v>
      </c>
      <c r="M39" s="13">
        <f t="shared" si="26"/>
        <v>1.4807361759541893E-2</v>
      </c>
      <c r="N39" s="13">
        <f t="shared" si="26"/>
        <v>1.7414575118153364E-2</v>
      </c>
      <c r="O39" s="13">
        <f t="shared" si="26"/>
        <v>3.247980079135826E-2</v>
      </c>
      <c r="P39" s="13">
        <f t="shared" si="26"/>
        <v>3.5060806552200452E-2</v>
      </c>
      <c r="Q39" s="13"/>
      <c r="R39" s="22">
        <f t="shared" ref="R39" si="34">C39-K39</f>
        <v>0</v>
      </c>
      <c r="S39" s="22">
        <f t="shared" ref="S39" si="35">D39-L39</f>
        <v>-5.5684944383127544E-5</v>
      </c>
      <c r="T39" s="22">
        <f t="shared" ref="T39" si="36">E39-M39</f>
        <v>-5.554608958235896E-5</v>
      </c>
      <c r="U39" s="22">
        <f t="shared" ref="U39" si="37">F39-N39</f>
        <v>-5.9196121170446148E-5</v>
      </c>
      <c r="V39" s="22">
        <f t="shared" ref="V39" si="38">G39-O39</f>
        <v>-1.1658277256998417E-4</v>
      </c>
      <c r="W39" s="22">
        <f t="shared" ref="W39" si="39">H39-P39</f>
        <v>-1.1687420762518386E-4</v>
      </c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41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0692-126F-46E1-AD2B-C056AE7AF461}">
  <dimension ref="B1:W50"/>
  <sheetViews>
    <sheetView zoomScale="150" zoomScaleNormal="150" workbookViewId="0">
      <selection activeCell="A2" sqref="A2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33</v>
      </c>
    </row>
    <row r="2" spans="2:23" s="6" customFormat="1" ht="11.5" customHeight="1" x14ac:dyDescent="0.15">
      <c r="K2" s="28" t="s">
        <v>19</v>
      </c>
      <c r="L2" s="28"/>
      <c r="M2" s="28"/>
      <c r="N2" s="28"/>
      <c r="O2" s="28"/>
      <c r="P2" s="28"/>
      <c r="Q2" s="29"/>
      <c r="R2" s="28" t="s">
        <v>26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24</v>
      </c>
      <c r="D3" s="8" t="s">
        <v>25</v>
      </c>
      <c r="E3" s="8" t="s">
        <v>17</v>
      </c>
      <c r="F3" s="8" t="s">
        <v>20</v>
      </c>
      <c r="G3" s="8" t="s">
        <v>21</v>
      </c>
      <c r="H3" s="8" t="s">
        <v>18</v>
      </c>
      <c r="K3" s="8" t="s">
        <v>24</v>
      </c>
      <c r="L3" s="8" t="s">
        <v>25</v>
      </c>
      <c r="M3" s="8" t="s">
        <v>17</v>
      </c>
      <c r="N3" s="8" t="s">
        <v>20</v>
      </c>
      <c r="O3" s="8" t="s">
        <v>21</v>
      </c>
      <c r="P3" s="8" t="s">
        <v>18</v>
      </c>
      <c r="Q3" s="18"/>
      <c r="R3" s="8" t="s">
        <v>24</v>
      </c>
      <c r="S3" s="8" t="s">
        <v>25</v>
      </c>
      <c r="T3" s="8" t="s">
        <v>17</v>
      </c>
      <c r="U3" s="8" t="s">
        <v>20</v>
      </c>
      <c r="V3" s="8" t="s">
        <v>21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23134.12562448873</v>
      </c>
      <c r="D5" s="12">
        <v>13708.134194543543</v>
      </c>
      <c r="E5" s="13">
        <f t="shared" ref="E5:E9" si="0">D5/C5</f>
        <v>0.59255034821946062</v>
      </c>
      <c r="F5" s="14">
        <v>0</v>
      </c>
      <c r="G5" s="14">
        <f t="shared" ref="G5:G9" si="1">(H5/365)/C5</f>
        <v>0</v>
      </c>
      <c r="H5" s="15">
        <f t="shared" ref="H5:H9" si="2">D5*F5*365</f>
        <v>0</v>
      </c>
      <c r="J5" s="5"/>
      <c r="K5" s="12">
        <v>23134.12562448873</v>
      </c>
      <c r="L5" s="12">
        <v>13708.134194543543</v>
      </c>
      <c r="M5" s="23">
        <v>0.59255034821946062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23405.508727585388</v>
      </c>
      <c r="D6" s="12">
        <v>15391.554550245828</v>
      </c>
      <c r="E6" s="13">
        <f t="shared" si="0"/>
        <v>0.65760393116794635</v>
      </c>
      <c r="F6" s="14">
        <v>81.405337065687107</v>
      </c>
      <c r="G6" s="14">
        <f t="shared" si="1"/>
        <v>53.532469672447576</v>
      </c>
      <c r="H6" s="15">
        <f t="shared" si="2"/>
        <v>457328460.43660021</v>
      </c>
      <c r="J6" s="5"/>
      <c r="K6" s="12">
        <v>23405.508727585388</v>
      </c>
      <c r="L6" s="12">
        <v>15391.554550245828</v>
      </c>
      <c r="M6" s="23">
        <v>0.65760393116794635</v>
      </c>
      <c r="N6" s="14">
        <v>81.405337065687107</v>
      </c>
      <c r="O6" s="14">
        <v>53.532469672447576</v>
      </c>
      <c r="P6" s="15">
        <v>457328460.43660021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23531.75</v>
      </c>
      <c r="D7" s="12">
        <v>16520.394290834603</v>
      </c>
      <c r="E7" s="13">
        <f t="shared" si="0"/>
        <v>0.70204699144069627</v>
      </c>
      <c r="F7" s="14">
        <v>87.33344518027576</v>
      </c>
      <c r="G7" s="14">
        <f t="shared" si="1"/>
        <v>61.312182440963568</v>
      </c>
      <c r="H7" s="15">
        <f t="shared" si="2"/>
        <v>526615776.44162768</v>
      </c>
      <c r="J7" s="5"/>
      <c r="K7" s="12">
        <v>23531.75</v>
      </c>
      <c r="L7" s="12">
        <v>16520.394290834603</v>
      </c>
      <c r="M7" s="23">
        <v>0.70204699144069627</v>
      </c>
      <c r="N7" s="14">
        <v>87.33344518027576</v>
      </c>
      <c r="O7" s="14">
        <v>61.312182440963568</v>
      </c>
      <c r="P7" s="15">
        <v>526615776.44162768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23690.916666666668</v>
      </c>
      <c r="D8" s="12">
        <v>17031.338463729593</v>
      </c>
      <c r="E8" s="13">
        <f t="shared" si="0"/>
        <v>0.71889740288913506</v>
      </c>
      <c r="F8" s="14">
        <v>94.071303779196327</v>
      </c>
      <c r="G8" s="14">
        <f t="shared" si="1"/>
        <v>67.627615973259125</v>
      </c>
      <c r="H8" s="15">
        <f t="shared" si="2"/>
        <v>584788478.25155342</v>
      </c>
      <c r="J8" s="5"/>
      <c r="K8" s="12">
        <v>23690.916666666668</v>
      </c>
      <c r="L8" s="12">
        <v>17031.338463729593</v>
      </c>
      <c r="M8" s="23">
        <v>0.71889740288913506</v>
      </c>
      <c r="N8" s="14">
        <v>94.071303779196327</v>
      </c>
      <c r="O8" s="14">
        <v>67.627615973259125</v>
      </c>
      <c r="P8" s="15">
        <v>584788478.25155342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23808.916666666668</v>
      </c>
      <c r="D9" s="12">
        <v>17253.283150123203</v>
      </c>
      <c r="E9" s="13">
        <f t="shared" si="0"/>
        <v>0.72465637104263603</v>
      </c>
      <c r="F9" s="14">
        <v>98.702491138825849</v>
      </c>
      <c r="G9" s="14">
        <f t="shared" si="1"/>
        <v>71.525389041529493</v>
      </c>
      <c r="H9" s="15">
        <f t="shared" si="2"/>
        <v>621573839.94285142</v>
      </c>
      <c r="J9" s="5"/>
      <c r="K9" s="12">
        <v>23808.916666666668</v>
      </c>
      <c r="L9" s="12">
        <v>17253.283150123203</v>
      </c>
      <c r="M9" s="23">
        <v>0.72465637104263603</v>
      </c>
      <c r="N9" s="14">
        <v>98.702491138825849</v>
      </c>
      <c r="O9" s="14">
        <v>71.525389041529493</v>
      </c>
      <c r="P9" s="15">
        <v>621573839.94285142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24896.166666666668</v>
      </c>
      <c r="D10" s="12">
        <v>17969.772068612379</v>
      </c>
      <c r="E10" s="13">
        <f>D10/C10</f>
        <v>0.7217887118610915</v>
      </c>
      <c r="F10" s="14">
        <v>102.42619833966353</v>
      </c>
      <c r="G10" s="14">
        <f t="shared" ref="G10:G15" si="3">(H10/365)/C10</f>
        <v>73.930073760414416</v>
      </c>
      <c r="H10" s="15">
        <f t="shared" ref="H10:H15" si="4">D10*F10*365</f>
        <v>671810034.87665665</v>
      </c>
      <c r="J10" s="5"/>
      <c r="K10" s="12">
        <v>24896.166666666668</v>
      </c>
      <c r="L10" s="12">
        <v>17969.772068612379</v>
      </c>
      <c r="M10" s="23">
        <v>0.7217887118610915</v>
      </c>
      <c r="N10" s="14">
        <v>102.42619833966353</v>
      </c>
      <c r="O10" s="14">
        <v>73.930073760414416</v>
      </c>
      <c r="P10" s="15">
        <v>671810034.87665665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26054.583333333332</v>
      </c>
      <c r="D11" s="12">
        <v>18612.485385416665</v>
      </c>
      <c r="E11" s="13">
        <f t="shared" ref="E11:E15" si="5">D11/C11</f>
        <v>0.71436511370360301</v>
      </c>
      <c r="F11" s="14">
        <v>102.66864898312593</v>
      </c>
      <c r="G11" s="14">
        <f t="shared" si="3"/>
        <v>73.342901104626051</v>
      </c>
      <c r="H11" s="15">
        <f t="shared" si="4"/>
        <v>697485335.98970032</v>
      </c>
      <c r="J11" s="11">
        <v>2019</v>
      </c>
      <c r="K11" s="12">
        <v>26054.583333333332</v>
      </c>
      <c r="L11" s="12">
        <v>18612.485385416665</v>
      </c>
      <c r="M11" s="23">
        <v>0.71436511370360301</v>
      </c>
      <c r="N11" s="14">
        <v>102.66864898312593</v>
      </c>
      <c r="O11" s="14">
        <v>73.342901104626051</v>
      </c>
      <c r="P11" s="15">
        <v>697485335.98970032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27354.25</v>
      </c>
      <c r="D12" s="12">
        <v>16408.931992999998</v>
      </c>
      <c r="E12" s="13">
        <f t="shared" si="5"/>
        <v>0.59986773510514813</v>
      </c>
      <c r="F12" s="14">
        <v>96.901737706824321</v>
      </c>
      <c r="G12" s="14">
        <f t="shared" si="3"/>
        <v>58.128225925945841</v>
      </c>
      <c r="H12" s="15">
        <f t="shared" si="4"/>
        <v>580369718.77270341</v>
      </c>
      <c r="J12" s="11">
        <v>2020</v>
      </c>
      <c r="K12" s="12">
        <v>27354.25</v>
      </c>
      <c r="L12" s="12">
        <v>16408.931992999998</v>
      </c>
      <c r="M12" s="23">
        <v>0.59986773510514813</v>
      </c>
      <c r="N12" s="14">
        <v>96.901737706824321</v>
      </c>
      <c r="O12" s="14">
        <v>58.128225925945841</v>
      </c>
      <c r="P12" s="15">
        <v>580369718.77270341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27907.416666666668</v>
      </c>
      <c r="D13" s="12">
        <v>20288.767705017908</v>
      </c>
      <c r="E13" s="13">
        <f t="shared" si="5"/>
        <v>0.7270027157064427</v>
      </c>
      <c r="F13" s="14">
        <v>117.23958634828452</v>
      </c>
      <c r="G13" s="14">
        <f t="shared" si="3"/>
        <v>85.233497663502831</v>
      </c>
      <c r="H13" s="15">
        <f t="shared" si="4"/>
        <v>868206057.63724768</v>
      </c>
      <c r="J13" s="11">
        <v>2021</v>
      </c>
      <c r="K13" s="12">
        <v>27907.416666666668</v>
      </c>
      <c r="L13" s="12">
        <v>20288.767705017908</v>
      </c>
      <c r="M13" s="23">
        <v>0.7270027157064427</v>
      </c>
      <c r="N13" s="14">
        <v>117.23958634828452</v>
      </c>
      <c r="O13" s="14">
        <v>85.233497663502831</v>
      </c>
      <c r="P13" s="15">
        <v>868206057.63724768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28880.166666666668</v>
      </c>
      <c r="D14" s="12">
        <v>20245.916845878124</v>
      </c>
      <c r="E14" s="13">
        <f t="shared" si="5"/>
        <v>0.70103185620621267</v>
      </c>
      <c r="F14" s="14">
        <v>130.49602834339115</v>
      </c>
      <c r="G14" s="14">
        <f t="shared" si="3"/>
        <v>91.481872977106036</v>
      </c>
      <c r="H14" s="15">
        <f t="shared" si="4"/>
        <v>964334284.57354307</v>
      </c>
      <c r="J14" s="11">
        <v>2022</v>
      </c>
      <c r="K14" s="12">
        <v>28880.166666666668</v>
      </c>
      <c r="L14" s="12">
        <v>20245.916845878124</v>
      </c>
      <c r="M14" s="23">
        <v>0.70103185620621267</v>
      </c>
      <c r="N14" s="14">
        <v>130.49602834339115</v>
      </c>
      <c r="O14" s="14">
        <v>91.481872977106036</v>
      </c>
      <c r="P14" s="15">
        <v>964334284.57354307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29495.801075268817</v>
      </c>
      <c r="D15" s="12">
        <v>19812.317822293542</v>
      </c>
      <c r="E15" s="13">
        <f t="shared" si="5"/>
        <v>0.67169960130038531</v>
      </c>
      <c r="F15" s="14">
        <v>130.77919161401584</v>
      </c>
      <c r="G15" s="14">
        <f t="shared" si="3"/>
        <v>87.844330865521144</v>
      </c>
      <c r="H15" s="15">
        <f t="shared" si="4"/>
        <v>945729201.71182048</v>
      </c>
      <c r="J15" s="11">
        <v>2023</v>
      </c>
      <c r="K15" s="12">
        <v>29495.801075268817</v>
      </c>
      <c r="L15" s="12">
        <v>19812.317822293542</v>
      </c>
      <c r="M15" s="23">
        <v>0.67169960130038531</v>
      </c>
      <c r="N15" s="14">
        <v>130.77919161401584</v>
      </c>
      <c r="O15" s="14">
        <v>87.844330865521144</v>
      </c>
      <c r="P15" s="15">
        <v>945729201.71182048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30439.083333333332</v>
      </c>
      <c r="D16" s="12">
        <v>19738.098060675886</v>
      </c>
      <c r="E16" s="13">
        <f t="shared" ref="E16:E18" si="6">D16/C16</f>
        <v>0.64844587612994986</v>
      </c>
      <c r="F16" s="14">
        <v>126.08361804452285</v>
      </c>
      <c r="G16" s="14">
        <f t="shared" ref="G16:G18" si="7">(H16/365)/C16</f>
        <v>81.758402168514564</v>
      </c>
      <c r="H16" s="15">
        <f t="shared" ref="H16:H18" si="8">D16*F16*365</f>
        <v>908357548.13477242</v>
      </c>
      <c r="J16" s="11">
        <v>2024</v>
      </c>
      <c r="K16" s="12">
        <v>30439.083333333332</v>
      </c>
      <c r="L16" s="12">
        <v>19738.098060675886</v>
      </c>
      <c r="M16" s="23">
        <v>0.64844587612994986</v>
      </c>
      <c r="N16" s="14">
        <v>126.08361804452285</v>
      </c>
      <c r="O16" s="14">
        <v>81.758402168514564</v>
      </c>
      <c r="P16" s="15">
        <v>908357548.13477242</v>
      </c>
      <c r="Q16" s="12"/>
      <c r="R16" s="25"/>
      <c r="S16" s="25"/>
      <c r="T16" s="24"/>
      <c r="U16" s="26"/>
      <c r="V16" s="26"/>
      <c r="W16" s="27"/>
    </row>
    <row r="17" spans="2:23" s="6" customFormat="1" ht="10.25" customHeight="1" outlineLevel="1" x14ac:dyDescent="0.15">
      <c r="B17" s="11">
        <v>2025</v>
      </c>
      <c r="C17" s="12">
        <v>31522.833333333332</v>
      </c>
      <c r="D17" s="12">
        <v>20078.818313182841</v>
      </c>
      <c r="E17" s="13">
        <f t="shared" si="6"/>
        <v>0.63696109105620291</v>
      </c>
      <c r="F17" s="14">
        <v>124.04539183304304</v>
      </c>
      <c r="G17" s="14">
        <f t="shared" si="7"/>
        <v>79.012088122469308</v>
      </c>
      <c r="H17" s="15">
        <f t="shared" si="8"/>
        <v>909099983.09918475</v>
      </c>
      <c r="J17" s="11">
        <v>2025</v>
      </c>
      <c r="K17" s="12">
        <v>31522.833333333332</v>
      </c>
      <c r="L17" s="12">
        <v>20078.818313182841</v>
      </c>
      <c r="M17" s="23">
        <v>0.63696109105620291</v>
      </c>
      <c r="N17" s="14">
        <v>124.04539183304304</v>
      </c>
      <c r="O17" s="14">
        <v>79.012088122469308</v>
      </c>
      <c r="P17" s="15">
        <v>909099983.09918475</v>
      </c>
      <c r="Q17" s="12"/>
      <c r="R17" s="25">
        <f t="shared" ref="R17:W20" si="9">C17-K17</f>
        <v>0</v>
      </c>
      <c r="S17" s="25">
        <f t="shared" si="9"/>
        <v>0</v>
      </c>
      <c r="T17" s="24">
        <f t="shared" si="9"/>
        <v>0</v>
      </c>
      <c r="U17" s="26">
        <f t="shared" si="9"/>
        <v>0</v>
      </c>
      <c r="V17" s="26">
        <f t="shared" si="9"/>
        <v>0</v>
      </c>
      <c r="W17" s="27">
        <f t="shared" si="9"/>
        <v>0</v>
      </c>
    </row>
    <row r="18" spans="2:23" s="6" customFormat="1" outlineLevel="1" x14ac:dyDescent="0.15">
      <c r="B18" s="11">
        <v>2026</v>
      </c>
      <c r="C18" s="12">
        <v>32036.916666666668</v>
      </c>
      <c r="D18" s="12">
        <v>20368.256015190145</v>
      </c>
      <c r="E18" s="13">
        <f t="shared" si="6"/>
        <v>0.63577454182357784</v>
      </c>
      <c r="F18" s="14">
        <v>125.27395052722471</v>
      </c>
      <c r="G18" s="14">
        <f t="shared" si="7"/>
        <v>79.645988498875852</v>
      </c>
      <c r="H18" s="15">
        <f t="shared" si="8"/>
        <v>931338342.17606378</v>
      </c>
      <c r="J18" s="11">
        <v>2026</v>
      </c>
      <c r="K18" s="12">
        <v>32252.208333333332</v>
      </c>
      <c r="L18" s="12">
        <v>20256.013400618533</v>
      </c>
      <c r="M18" s="23">
        <v>0.6280504327414852</v>
      </c>
      <c r="N18" s="14">
        <v>124.36381596647072</v>
      </c>
      <c r="O18" s="14">
        <v>78.106748435124359</v>
      </c>
      <c r="P18" s="15">
        <v>919477019.81064427</v>
      </c>
      <c r="Q18" s="12"/>
      <c r="R18" s="25">
        <f t="shared" si="9"/>
        <v>-215.29166666666424</v>
      </c>
      <c r="S18" s="25">
        <f t="shared" si="9"/>
        <v>112.24261457161265</v>
      </c>
      <c r="T18" s="24">
        <f t="shared" si="9"/>
        <v>7.724109082092645E-3</v>
      </c>
      <c r="U18" s="26">
        <f t="shared" si="9"/>
        <v>0.91013456075398835</v>
      </c>
      <c r="V18" s="26">
        <f t="shared" si="9"/>
        <v>1.5392400637514925</v>
      </c>
      <c r="W18" s="27">
        <f t="shared" si="9"/>
        <v>11861322.365419507</v>
      </c>
    </row>
    <row r="19" spans="2:23" s="6" customFormat="1" outlineLevel="1" x14ac:dyDescent="0.15">
      <c r="B19" s="11">
        <v>2027</v>
      </c>
      <c r="C19" s="12">
        <v>32723.633333333335</v>
      </c>
      <c r="D19" s="12">
        <v>20586.588980735469</v>
      </c>
      <c r="E19" s="13">
        <f t="shared" ref="E19" si="10">D19/C19</f>
        <v>0.62910462206424111</v>
      </c>
      <c r="F19" s="14">
        <v>126.34130247256304</v>
      </c>
      <c r="G19" s="14">
        <f t="shared" ref="G19" si="11">(H19/365)/C19</f>
        <v>79.481897343105729</v>
      </c>
      <c r="H19" s="15">
        <f t="shared" ref="H19" si="12">D19*F19*365</f>
        <v>949341809.83210301</v>
      </c>
      <c r="J19" s="11">
        <v>2027</v>
      </c>
      <c r="K19" s="12">
        <v>32848.291666666672</v>
      </c>
      <c r="L19" s="12">
        <v>20566.04592921009</v>
      </c>
      <c r="M19" s="23">
        <v>0.62609179612466159</v>
      </c>
      <c r="N19" s="14">
        <v>125.64799991363731</v>
      </c>
      <c r="O19" s="14">
        <v>78.667181945400515</v>
      </c>
      <c r="P19" s="15">
        <v>943190126.05509639</v>
      </c>
      <c r="Q19" s="12"/>
      <c r="R19" s="25">
        <f t="shared" si="9"/>
        <v>-124.65833333333649</v>
      </c>
      <c r="S19" s="25">
        <f t="shared" si="9"/>
        <v>20.543051525379269</v>
      </c>
      <c r="T19" s="24">
        <f t="shared" si="9"/>
        <v>3.012825939579522E-3</v>
      </c>
      <c r="U19" s="26">
        <f t="shared" si="9"/>
        <v>0.69330255892573689</v>
      </c>
      <c r="V19" s="26">
        <f t="shared" si="9"/>
        <v>0.81471539770521417</v>
      </c>
      <c r="W19" s="27">
        <f t="shared" si="9"/>
        <v>6151683.7770066261</v>
      </c>
    </row>
    <row r="20" spans="2:23" s="6" customFormat="1" outlineLevel="1" x14ac:dyDescent="0.15">
      <c r="B20" s="11">
        <v>2028</v>
      </c>
      <c r="C20" s="12">
        <v>33525.416666666686</v>
      </c>
      <c r="D20" s="12">
        <v>20934.08748603757</v>
      </c>
      <c r="E20" s="13">
        <f t="shared" ref="E20" si="13">D20/C20</f>
        <v>0.62442437909658266</v>
      </c>
      <c r="F20" s="14">
        <v>128.17657695019361</v>
      </c>
      <c r="G20" s="14">
        <f t="shared" ref="G20" si="14">(H20/365)/C20</f>
        <v>80.036579476849994</v>
      </c>
      <c r="H20" s="15">
        <f t="shared" ref="H20" si="15">D20*F20*365</f>
        <v>979389781.57070553</v>
      </c>
      <c r="J20" s="11">
        <v>2028</v>
      </c>
      <c r="K20" s="12">
        <v>33638.255359305418</v>
      </c>
      <c r="L20" s="12">
        <v>20920.989025487132</v>
      </c>
      <c r="M20" s="23">
        <v>0.62194037122379231</v>
      </c>
      <c r="N20" s="14">
        <v>127.57002419183155</v>
      </c>
      <c r="O20" s="14">
        <v>79.340948202895873</v>
      </c>
      <c r="P20" s="15">
        <v>974145242.77592897</v>
      </c>
      <c r="Q20" s="12"/>
      <c r="R20" s="25">
        <f t="shared" si="9"/>
        <v>-112.83869263873203</v>
      </c>
      <c r="S20" s="25">
        <f t="shared" si="9"/>
        <v>13.098460550438176</v>
      </c>
      <c r="T20" s="24">
        <f t="shared" si="9"/>
        <v>2.4840078727903503E-3</v>
      </c>
      <c r="U20" s="26">
        <f t="shared" si="9"/>
        <v>0.60655275836205647</v>
      </c>
      <c r="V20" s="26">
        <f t="shared" si="9"/>
        <v>0.69563127395412039</v>
      </c>
      <c r="W20" s="27">
        <f t="shared" si="9"/>
        <v>5244538.7947765589</v>
      </c>
    </row>
    <row r="21" spans="2:23" s="6" customFormat="1" outlineLevel="1" x14ac:dyDescent="0.15">
      <c r="B21" s="11">
        <v>2029</v>
      </c>
      <c r="C21" s="12">
        <v>34518.297517722567</v>
      </c>
      <c r="D21" s="12">
        <v>21272.004224117143</v>
      </c>
      <c r="E21" s="13">
        <f t="shared" ref="E21" si="16">D21/C21</f>
        <v>0.61625299489917074</v>
      </c>
      <c r="F21" s="14">
        <v>130.08975203446894</v>
      </c>
      <c r="G21" s="14">
        <f t="shared" ref="G21" si="17">(H21/365)/C21</f>
        <v>80.168199296931974</v>
      </c>
      <c r="H21" s="15">
        <f t="shared" ref="H21" si="18">D21*F21*365</f>
        <v>1010053460.4989249</v>
      </c>
      <c r="J21" s="11">
        <v>2029</v>
      </c>
      <c r="K21" s="12">
        <v>34634.478014530156</v>
      </c>
      <c r="L21" s="12">
        <v>21248.020494716544</v>
      </c>
      <c r="M21" s="23">
        <v>0.61349330819429093</v>
      </c>
      <c r="N21" s="14">
        <v>129.61723992353015</v>
      </c>
      <c r="O21" s="14">
        <v>79.519309319699644</v>
      </c>
      <c r="P21" s="15">
        <v>1005250066.1827725</v>
      </c>
      <c r="Q21" s="12"/>
      <c r="R21" s="25">
        <f t="shared" ref="R21" si="19">C21-K21</f>
        <v>-116.1804968075885</v>
      </c>
      <c r="S21" s="25">
        <f t="shared" ref="S21" si="20">D21-L21</f>
        <v>23.983729400599259</v>
      </c>
      <c r="T21" s="24">
        <f t="shared" ref="T21" si="21">E21-M21</f>
        <v>2.7596867048798046E-3</v>
      </c>
      <c r="U21" s="26">
        <f t="shared" ref="U21" si="22">F21-N21</f>
        <v>0.47251211093879419</v>
      </c>
      <c r="V21" s="26">
        <f t="shared" ref="V21" si="23">G21-O21</f>
        <v>0.64888997723232933</v>
      </c>
      <c r="W21" s="27">
        <f t="shared" ref="W21" si="24">H21-P21</f>
        <v>4803394.3161523342</v>
      </c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f t="shared" ref="C24:H33" si="25">C6/C5-1</f>
        <v>1.1730856290042002E-2</v>
      </c>
      <c r="D24" s="13">
        <f t="shared" si="25"/>
        <v>0.12280448468124594</v>
      </c>
      <c r="E24" s="13">
        <f t="shared" si="25"/>
        <v>0.10978574756383752</v>
      </c>
      <c r="F24" s="13" t="e">
        <f t="shared" si="25"/>
        <v>#DIV/0!</v>
      </c>
      <c r="G24" s="13" t="e">
        <f t="shared" si="25"/>
        <v>#DIV/0!</v>
      </c>
      <c r="H24" s="13" t="e">
        <f t="shared" si="25"/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f t="shared" si="25"/>
        <v>5.3936564201155779E-3</v>
      </c>
      <c r="D25" s="13">
        <f t="shared" si="25"/>
        <v>7.3341502763978106E-2</v>
      </c>
      <c r="E25" s="13">
        <f t="shared" si="25"/>
        <v>6.7583325108498293E-2</v>
      </c>
      <c r="F25" s="13">
        <f t="shared" si="25"/>
        <v>7.2822106366382089E-2</v>
      </c>
      <c r="G25" s="13">
        <f t="shared" si="25"/>
        <v>0.14532699156452522</v>
      </c>
      <c r="H25" s="13">
        <f t="shared" si="25"/>
        <v>0.15150449184570891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f t="shared" si="25"/>
        <v>6.7639111696609078E-3</v>
      </c>
      <c r="D26" s="13">
        <f t="shared" si="25"/>
        <v>3.092808584952822E-2</v>
      </c>
      <c r="E26" s="13">
        <f t="shared" si="25"/>
        <v>2.4001828444360163E-2</v>
      </c>
      <c r="F26" s="13">
        <f t="shared" si="25"/>
        <v>7.7150953852926696E-2</v>
      </c>
      <c r="G26" s="13">
        <f t="shared" si="25"/>
        <v>0.10300454625598388</v>
      </c>
      <c r="H26" s="13">
        <f t="shared" si="25"/>
        <v>0.11046517102659159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f t="shared" si="25"/>
        <v>4.9808119145522411E-3</v>
      </c>
      <c r="D27" s="13">
        <f t="shared" si="25"/>
        <v>1.3031546925467374E-2</v>
      </c>
      <c r="E27" s="13">
        <f t="shared" si="25"/>
        <v>8.0108345507392542E-3</v>
      </c>
      <c r="F27" s="13">
        <f t="shared" si="25"/>
        <v>4.9230606716154535E-2</v>
      </c>
      <c r="G27" s="13">
        <f t="shared" si="25"/>
        <v>5.7635819512129594E-2</v>
      </c>
      <c r="H27" s="13">
        <f t="shared" si="25"/>
        <v>6.2903704603212818E-2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f t="shared" si="25"/>
        <v>4.5665664474444201E-2</v>
      </c>
      <c r="D28" s="13">
        <f t="shared" si="25"/>
        <v>4.1527685615248222E-2</v>
      </c>
      <c r="E28" s="13">
        <f t="shared" si="25"/>
        <v>-3.9572676045317445E-3</v>
      </c>
      <c r="F28" s="13">
        <f t="shared" si="25"/>
        <v>3.7726577697013264E-2</v>
      </c>
      <c r="G28" s="13">
        <f t="shared" si="25"/>
        <v>3.3620015928731206E-2</v>
      </c>
      <c r="H28" s="13">
        <f t="shared" si="25"/>
        <v>8.0820960770202399E-2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f>B11</f>
        <v>2019</v>
      </c>
      <c r="C29" s="13">
        <f t="shared" si="25"/>
        <v>4.6529920938296998E-2</v>
      </c>
      <c r="D29" s="13">
        <f t="shared" si="25"/>
        <v>3.5766358880361393E-2</v>
      </c>
      <c r="E29" s="13">
        <f t="shared" si="25"/>
        <v>-1.0285001740117483E-2</v>
      </c>
      <c r="F29" s="13">
        <f t="shared" si="25"/>
        <v>2.3670764647381048E-3</v>
      </c>
      <c r="G29" s="13">
        <f t="shared" si="25"/>
        <v>-7.9422706609385552E-3</v>
      </c>
      <c r="H29" s="13">
        <f t="shared" si="25"/>
        <v>3.821809705143453E-2</v>
      </c>
      <c r="J29" s="11">
        <f>J11</f>
        <v>2019</v>
      </c>
      <c r="K29" s="13">
        <f t="shared" ref="K29:P39" si="26">K11/K10-1</f>
        <v>4.6529920938296998E-2</v>
      </c>
      <c r="L29" s="13">
        <f t="shared" si="26"/>
        <v>3.5766358880361393E-2</v>
      </c>
      <c r="M29" s="13">
        <f t="shared" si="26"/>
        <v>-1.0285001740117483E-2</v>
      </c>
      <c r="N29" s="13">
        <f t="shared" si="26"/>
        <v>2.3670764647381048E-3</v>
      </c>
      <c r="O29" s="13">
        <f t="shared" si="26"/>
        <v>-7.9422706609385552E-3</v>
      </c>
      <c r="P29" s="13">
        <f t="shared" si="26"/>
        <v>3.821809705143453E-2</v>
      </c>
      <c r="Q29" s="13"/>
      <c r="R29" s="22">
        <f t="shared" ref="R29:R38" si="27">C29-K29</f>
        <v>0</v>
      </c>
      <c r="S29" s="22">
        <f t="shared" ref="S29:S38" si="28">D29-L29</f>
        <v>0</v>
      </c>
      <c r="T29" s="22">
        <f t="shared" ref="T29:T38" si="29">E29-M29</f>
        <v>0</v>
      </c>
      <c r="U29" s="22">
        <f t="shared" ref="U29:U38" si="30">F29-N29</f>
        <v>0</v>
      </c>
      <c r="V29" s="22">
        <f t="shared" ref="V29:V38" si="31">G29-O29</f>
        <v>0</v>
      </c>
      <c r="W29" s="22">
        <f t="shared" ref="W29:W38" si="32">H29-P29</f>
        <v>0</v>
      </c>
    </row>
    <row r="30" spans="2:23" s="6" customFormat="1" x14ac:dyDescent="0.15">
      <c r="B30" s="11">
        <f>B12</f>
        <v>2020</v>
      </c>
      <c r="C30" s="13">
        <f t="shared" si="25"/>
        <v>4.9882458300682941E-2</v>
      </c>
      <c r="D30" s="13">
        <f t="shared" si="25"/>
        <v>-0.11839114157979158</v>
      </c>
      <c r="E30" s="13">
        <f t="shared" si="25"/>
        <v>-0.16027851360888401</v>
      </c>
      <c r="F30" s="13">
        <f t="shared" si="25"/>
        <v>-5.6170129181785877E-2</v>
      </c>
      <c r="G30" s="13">
        <f t="shared" si="25"/>
        <v>-0.20744577797619401</v>
      </c>
      <c r="H30" s="13">
        <f t="shared" si="25"/>
        <v>-0.16791122504506151</v>
      </c>
      <c r="J30" s="11">
        <f>J12</f>
        <v>2020</v>
      </c>
      <c r="K30" s="13">
        <f t="shared" si="26"/>
        <v>4.9882458300682941E-2</v>
      </c>
      <c r="L30" s="13">
        <f t="shared" si="26"/>
        <v>-0.11839114157979158</v>
      </c>
      <c r="M30" s="13">
        <f t="shared" si="26"/>
        <v>-0.16027851360888401</v>
      </c>
      <c r="N30" s="13">
        <f t="shared" si="26"/>
        <v>-5.6170129181785877E-2</v>
      </c>
      <c r="O30" s="13">
        <f t="shared" si="26"/>
        <v>-0.20744577797619401</v>
      </c>
      <c r="P30" s="13">
        <f t="shared" si="26"/>
        <v>-0.16791122504506151</v>
      </c>
      <c r="Q30" s="13"/>
      <c r="R30" s="22">
        <f t="shared" si="27"/>
        <v>0</v>
      </c>
      <c r="S30" s="22">
        <f t="shared" si="28"/>
        <v>0</v>
      </c>
      <c r="T30" s="22">
        <f t="shared" si="29"/>
        <v>0</v>
      </c>
      <c r="U30" s="22">
        <f t="shared" si="30"/>
        <v>0</v>
      </c>
      <c r="V30" s="22">
        <f t="shared" si="31"/>
        <v>0</v>
      </c>
      <c r="W30" s="22">
        <f t="shared" si="32"/>
        <v>0</v>
      </c>
    </row>
    <row r="31" spans="2:23" s="6" customFormat="1" x14ac:dyDescent="0.15">
      <c r="B31" s="11">
        <f>B13</f>
        <v>2021</v>
      </c>
      <c r="C31" s="13">
        <f t="shared" si="25"/>
        <v>2.0222329863427646E-2</v>
      </c>
      <c r="D31" s="13">
        <f t="shared" si="25"/>
        <v>0.23644657151806325</v>
      </c>
      <c r="E31" s="13">
        <f t="shared" si="25"/>
        <v>0.21193835434241115</v>
      </c>
      <c r="F31" s="13">
        <f t="shared" si="25"/>
        <v>0.20988115510366034</v>
      </c>
      <c r="G31" s="13">
        <f t="shared" si="25"/>
        <v>0.46630137606622557</v>
      </c>
      <c r="H31" s="13">
        <f t="shared" si="25"/>
        <v>0.49595340617223482</v>
      </c>
      <c r="J31" s="11">
        <f>J13</f>
        <v>2021</v>
      </c>
      <c r="K31" s="13">
        <f t="shared" si="26"/>
        <v>2.0222329863427646E-2</v>
      </c>
      <c r="L31" s="13">
        <f t="shared" si="26"/>
        <v>0.23644657151806325</v>
      </c>
      <c r="M31" s="13">
        <f t="shared" si="26"/>
        <v>0.21193835434241115</v>
      </c>
      <c r="N31" s="13">
        <f t="shared" si="26"/>
        <v>0.20988115510366034</v>
      </c>
      <c r="O31" s="13">
        <f t="shared" si="26"/>
        <v>0.46630137606622557</v>
      </c>
      <c r="P31" s="13">
        <f t="shared" si="26"/>
        <v>0.49595340617223482</v>
      </c>
      <c r="Q31" s="13"/>
      <c r="R31" s="22">
        <f t="shared" si="27"/>
        <v>0</v>
      </c>
      <c r="S31" s="22">
        <f t="shared" si="28"/>
        <v>0</v>
      </c>
      <c r="T31" s="22">
        <f t="shared" si="29"/>
        <v>0</v>
      </c>
      <c r="U31" s="22">
        <f t="shared" si="30"/>
        <v>0</v>
      </c>
      <c r="V31" s="22">
        <f t="shared" si="31"/>
        <v>0</v>
      </c>
      <c r="W31" s="22">
        <f t="shared" si="32"/>
        <v>0</v>
      </c>
    </row>
    <row r="32" spans="2:23" s="6" customFormat="1" outlineLevel="1" x14ac:dyDescent="0.15">
      <c r="B32" s="11">
        <f>B14</f>
        <v>2022</v>
      </c>
      <c r="C32" s="13">
        <f t="shared" si="25"/>
        <v>3.4856325528757282E-2</v>
      </c>
      <c r="D32" s="13">
        <f t="shared" si="25"/>
        <v>-2.1120483886848396E-3</v>
      </c>
      <c r="E32" s="13">
        <f t="shared" si="25"/>
        <v>-3.572319461694673E-2</v>
      </c>
      <c r="F32" s="13">
        <f t="shared" si="25"/>
        <v>0.11307138150185558</v>
      </c>
      <c r="G32" s="13">
        <f t="shared" si="25"/>
        <v>7.3308915917911222E-2</v>
      </c>
      <c r="H32" s="13">
        <f t="shared" si="25"/>
        <v>0.11072052088406359</v>
      </c>
      <c r="J32" s="11">
        <f>J14</f>
        <v>2022</v>
      </c>
      <c r="K32" s="13">
        <f t="shared" si="26"/>
        <v>3.4856325528757282E-2</v>
      </c>
      <c r="L32" s="13">
        <f t="shared" si="26"/>
        <v>-2.1120483886848396E-3</v>
      </c>
      <c r="M32" s="13">
        <f t="shared" si="26"/>
        <v>-3.572319461694673E-2</v>
      </c>
      <c r="N32" s="13">
        <f t="shared" si="26"/>
        <v>0.11307138150185558</v>
      </c>
      <c r="O32" s="13">
        <f t="shared" si="26"/>
        <v>7.3308915917911222E-2</v>
      </c>
      <c r="P32" s="13">
        <f t="shared" si="26"/>
        <v>0.11072052088406359</v>
      </c>
      <c r="Q32" s="13"/>
      <c r="R32" s="22">
        <f t="shared" si="27"/>
        <v>0</v>
      </c>
      <c r="S32" s="22">
        <f t="shared" si="28"/>
        <v>0</v>
      </c>
      <c r="T32" s="22">
        <f t="shared" si="29"/>
        <v>0</v>
      </c>
      <c r="U32" s="22">
        <f t="shared" si="30"/>
        <v>0</v>
      </c>
      <c r="V32" s="22">
        <f t="shared" si="31"/>
        <v>0</v>
      </c>
      <c r="W32" s="22">
        <f t="shared" si="32"/>
        <v>0</v>
      </c>
    </row>
    <row r="33" spans="2:23" s="6" customFormat="1" outlineLevel="1" x14ac:dyDescent="0.15">
      <c r="B33" s="11">
        <v>2023</v>
      </c>
      <c r="C33" s="13">
        <f t="shared" si="25"/>
        <v>2.1316857887551999E-2</v>
      </c>
      <c r="D33" s="13">
        <f t="shared" si="25"/>
        <v>-2.1416615848289355E-2</v>
      </c>
      <c r="E33" s="13">
        <f t="shared" si="25"/>
        <v>-4.1841543499271605E-2</v>
      </c>
      <c r="F33" s="13">
        <f t="shared" si="25"/>
        <v>2.1698995304253454E-3</v>
      </c>
      <c r="G33" s="13">
        <f t="shared" si="25"/>
        <v>-3.9762435914437511E-2</v>
      </c>
      <c r="H33" s="13">
        <f t="shared" si="25"/>
        <v>-1.9293188222536672E-2</v>
      </c>
      <c r="J33" s="11">
        <v>2023</v>
      </c>
      <c r="K33" s="13">
        <f t="shared" si="26"/>
        <v>2.1316857887551999E-2</v>
      </c>
      <c r="L33" s="13">
        <f t="shared" si="26"/>
        <v>-2.1416615848289355E-2</v>
      </c>
      <c r="M33" s="13">
        <f t="shared" si="26"/>
        <v>-4.1841543499271605E-2</v>
      </c>
      <c r="N33" s="13">
        <f t="shared" si="26"/>
        <v>2.1698995304253454E-3</v>
      </c>
      <c r="O33" s="13">
        <f t="shared" si="26"/>
        <v>-3.9762435914437511E-2</v>
      </c>
      <c r="P33" s="13">
        <f t="shared" si="26"/>
        <v>-1.9293188222536672E-2</v>
      </c>
      <c r="Q33" s="13"/>
      <c r="R33" s="22">
        <f t="shared" si="27"/>
        <v>0</v>
      </c>
      <c r="S33" s="22">
        <f t="shared" si="28"/>
        <v>0</v>
      </c>
      <c r="T33" s="22">
        <f t="shared" si="29"/>
        <v>0</v>
      </c>
      <c r="U33" s="22">
        <f t="shared" si="30"/>
        <v>0</v>
      </c>
      <c r="V33" s="22">
        <f t="shared" si="31"/>
        <v>0</v>
      </c>
      <c r="W33" s="22">
        <f t="shared" si="32"/>
        <v>0</v>
      </c>
    </row>
    <row r="34" spans="2:23" s="6" customFormat="1" outlineLevel="1" x14ac:dyDescent="0.15">
      <c r="B34" s="11">
        <v>2024</v>
      </c>
      <c r="C34" s="13">
        <f t="shared" ref="C34:H39" si="33">C16/C15-1</f>
        <v>3.1980221715538493E-2</v>
      </c>
      <c r="D34" s="13">
        <f t="shared" si="33"/>
        <v>-3.7461422880133988E-3</v>
      </c>
      <c r="E34" s="13">
        <f t="shared" si="33"/>
        <v>-3.4619233248638359E-2</v>
      </c>
      <c r="F34" s="13">
        <f t="shared" si="33"/>
        <v>-3.5904592401454827E-2</v>
      </c>
      <c r="G34" s="13">
        <f t="shared" si="33"/>
        <v>-6.9280836191050188E-2</v>
      </c>
      <c r="H34" s="13">
        <f t="shared" si="33"/>
        <v>-3.9516230977539202E-2</v>
      </c>
      <c r="J34" s="11">
        <v>2024</v>
      </c>
      <c r="K34" s="13">
        <f t="shared" si="26"/>
        <v>3.1980221715538493E-2</v>
      </c>
      <c r="L34" s="13">
        <f t="shared" si="26"/>
        <v>-3.7461422880133988E-3</v>
      </c>
      <c r="M34" s="13">
        <f t="shared" si="26"/>
        <v>-3.4619233248638359E-2</v>
      </c>
      <c r="N34" s="13">
        <f t="shared" si="26"/>
        <v>-3.5904592401454827E-2</v>
      </c>
      <c r="O34" s="13">
        <f t="shared" si="26"/>
        <v>-6.9280836191050188E-2</v>
      </c>
      <c r="P34" s="13">
        <f t="shared" si="26"/>
        <v>-3.9516230977539202E-2</v>
      </c>
      <c r="Q34" s="13"/>
      <c r="R34" s="22">
        <f t="shared" si="27"/>
        <v>0</v>
      </c>
      <c r="S34" s="22">
        <f t="shared" si="28"/>
        <v>0</v>
      </c>
      <c r="T34" s="22">
        <f t="shared" si="29"/>
        <v>0</v>
      </c>
      <c r="U34" s="22">
        <f t="shared" si="30"/>
        <v>0</v>
      </c>
      <c r="V34" s="22">
        <f t="shared" si="31"/>
        <v>0</v>
      </c>
      <c r="W34" s="22">
        <f t="shared" si="32"/>
        <v>0</v>
      </c>
    </row>
    <row r="35" spans="2:23" s="6" customFormat="1" outlineLevel="1" x14ac:dyDescent="0.15">
      <c r="B35" s="11">
        <v>2025</v>
      </c>
      <c r="C35" s="13">
        <f t="shared" si="33"/>
        <v>3.5603897401641049E-2</v>
      </c>
      <c r="D35" s="13">
        <f t="shared" si="33"/>
        <v>1.7262060987819794E-2</v>
      </c>
      <c r="E35" s="13">
        <f t="shared" si="33"/>
        <v>-1.7711246993026397E-2</v>
      </c>
      <c r="F35" s="13">
        <f t="shared" si="33"/>
        <v>-1.61656703947064E-2</v>
      </c>
      <c r="G35" s="13">
        <f t="shared" si="33"/>
        <v>-3.359060320656404E-2</v>
      </c>
      <c r="H35" s="13">
        <f t="shared" si="33"/>
        <v>8.1733780485104823E-4</v>
      </c>
      <c r="J35" s="11">
        <v>2025</v>
      </c>
      <c r="K35" s="13">
        <f t="shared" si="26"/>
        <v>3.5603897401641049E-2</v>
      </c>
      <c r="L35" s="13">
        <f t="shared" si="26"/>
        <v>1.7262060987819794E-2</v>
      </c>
      <c r="M35" s="13">
        <f t="shared" si="26"/>
        <v>-1.7711246993026397E-2</v>
      </c>
      <c r="N35" s="13">
        <f t="shared" si="26"/>
        <v>-1.61656703947064E-2</v>
      </c>
      <c r="O35" s="13">
        <f t="shared" si="26"/>
        <v>-3.359060320656404E-2</v>
      </c>
      <c r="P35" s="13">
        <f t="shared" si="26"/>
        <v>8.1733780485104823E-4</v>
      </c>
      <c r="Q35" s="13"/>
      <c r="R35" s="22">
        <f t="shared" si="27"/>
        <v>0</v>
      </c>
      <c r="S35" s="22">
        <f t="shared" si="28"/>
        <v>0</v>
      </c>
      <c r="T35" s="22">
        <f t="shared" si="29"/>
        <v>0</v>
      </c>
      <c r="U35" s="22">
        <f t="shared" si="30"/>
        <v>0</v>
      </c>
      <c r="V35" s="22">
        <f t="shared" si="31"/>
        <v>0</v>
      </c>
      <c r="W35" s="22">
        <f t="shared" si="32"/>
        <v>0</v>
      </c>
    </row>
    <row r="36" spans="2:23" s="6" customFormat="1" outlineLevel="1" x14ac:dyDescent="0.15">
      <c r="B36" s="11">
        <v>2026</v>
      </c>
      <c r="C36" s="13">
        <f t="shared" si="33"/>
        <v>1.6308284471044932E-2</v>
      </c>
      <c r="D36" s="13">
        <f t="shared" si="33"/>
        <v>1.4415076499660007E-2</v>
      </c>
      <c r="E36" s="13">
        <f t="shared" si="33"/>
        <v>-1.86282843534058E-3</v>
      </c>
      <c r="F36" s="13">
        <f t="shared" si="33"/>
        <v>9.9041058763007506E-3</v>
      </c>
      <c r="G36" s="13">
        <f t="shared" si="33"/>
        <v>8.0228277909071277E-3</v>
      </c>
      <c r="H36" s="13">
        <f t="shared" si="33"/>
        <v>2.4461950819828271E-2</v>
      </c>
      <c r="J36" s="11">
        <v>2026</v>
      </c>
      <c r="K36" s="13">
        <f t="shared" si="26"/>
        <v>2.3137989922648705E-2</v>
      </c>
      <c r="L36" s="13">
        <f t="shared" si="26"/>
        <v>8.8249758861234096E-3</v>
      </c>
      <c r="M36" s="13">
        <f t="shared" si="26"/>
        <v>-1.3989329081219304E-2</v>
      </c>
      <c r="N36" s="13">
        <f t="shared" si="26"/>
        <v>2.5669968768873286E-3</v>
      </c>
      <c r="O36" s="13">
        <f t="shared" si="26"/>
        <v>-1.1458242768393467E-2</v>
      </c>
      <c r="P36" s="13">
        <f t="shared" si="26"/>
        <v>1.141462644854907E-2</v>
      </c>
      <c r="Q36" s="13"/>
      <c r="R36" s="22">
        <f t="shared" si="27"/>
        <v>-6.8297054516037736E-3</v>
      </c>
      <c r="S36" s="22">
        <f t="shared" si="28"/>
        <v>5.5901006135365972E-3</v>
      </c>
      <c r="T36" s="22">
        <f t="shared" si="29"/>
        <v>1.2126500645878724E-2</v>
      </c>
      <c r="U36" s="22">
        <f t="shared" si="30"/>
        <v>7.337108999413422E-3</v>
      </c>
      <c r="V36" s="22">
        <f t="shared" si="31"/>
        <v>1.9481070559300595E-2</v>
      </c>
      <c r="W36" s="22">
        <f t="shared" si="32"/>
        <v>1.3047324371279201E-2</v>
      </c>
    </row>
    <row r="37" spans="2:23" s="6" customFormat="1" outlineLevel="1" x14ac:dyDescent="0.15">
      <c r="B37" s="11">
        <v>2027</v>
      </c>
      <c r="C37" s="13">
        <f t="shared" si="33"/>
        <v>2.1435167241957931E-2</v>
      </c>
      <c r="D37" s="13">
        <f t="shared" si="33"/>
        <v>1.0719276377049392E-2</v>
      </c>
      <c r="E37" s="13">
        <f t="shared" si="33"/>
        <v>-1.0491014220552985E-2</v>
      </c>
      <c r="F37" s="13">
        <f t="shared" si="33"/>
        <v>8.5201427818497599E-3</v>
      </c>
      <c r="G37" s="13">
        <f t="shared" si="33"/>
        <v>-2.0602563777890603E-3</v>
      </c>
      <c r="H37" s="13">
        <f t="shared" si="33"/>
        <v>1.9330748924149654E-2</v>
      </c>
      <c r="J37" s="11">
        <v>2027</v>
      </c>
      <c r="K37" s="13">
        <f t="shared" si="26"/>
        <v>1.8481938575265699E-2</v>
      </c>
      <c r="L37" s="13">
        <f t="shared" si="26"/>
        <v>1.5305703173660534E-2</v>
      </c>
      <c r="M37" s="13">
        <f t="shared" si="26"/>
        <v>-3.1185976710087493E-3</v>
      </c>
      <c r="N37" s="13">
        <f t="shared" si="26"/>
        <v>1.0326025598256017E-2</v>
      </c>
      <c r="O37" s="13">
        <f t="shared" si="26"/>
        <v>7.175225207866065E-3</v>
      </c>
      <c r="P37" s="13">
        <f t="shared" si="26"/>
        <v>2.5789775854687003E-2</v>
      </c>
      <c r="Q37" s="13"/>
      <c r="R37" s="22">
        <f t="shared" si="27"/>
        <v>2.9532286666922314E-3</v>
      </c>
      <c r="S37" s="22">
        <f t="shared" si="28"/>
        <v>-4.5864267966111427E-3</v>
      </c>
      <c r="T37" s="22">
        <f t="shared" si="29"/>
        <v>-7.3724165495442362E-3</v>
      </c>
      <c r="U37" s="22">
        <f t="shared" si="30"/>
        <v>-1.8058828164062568E-3</v>
      </c>
      <c r="V37" s="22">
        <f t="shared" si="31"/>
        <v>-9.2354815856551253E-3</v>
      </c>
      <c r="W37" s="22">
        <f t="shared" si="32"/>
        <v>-6.4590269305373482E-3</v>
      </c>
    </row>
    <row r="38" spans="2:23" s="6" customFormat="1" outlineLevel="1" x14ac:dyDescent="0.15">
      <c r="B38" s="11">
        <v>2028</v>
      </c>
      <c r="C38" s="13">
        <f t="shared" si="33"/>
        <v>2.4501659860509006E-2</v>
      </c>
      <c r="D38" s="13">
        <f t="shared" si="33"/>
        <v>1.6879848605676484E-2</v>
      </c>
      <c r="E38" s="13">
        <f t="shared" si="33"/>
        <v>-7.4395304111762872E-3</v>
      </c>
      <c r="F38" s="13">
        <f t="shared" si="33"/>
        <v>1.4526322285058901E-2</v>
      </c>
      <c r="G38" s="13">
        <f t="shared" si="33"/>
        <v>6.9787228574806903E-3</v>
      </c>
      <c r="H38" s="13">
        <f t="shared" si="33"/>
        <v>3.1651373011704509E-2</v>
      </c>
      <c r="J38" s="11">
        <v>2028</v>
      </c>
      <c r="K38" s="13">
        <f t="shared" si="26"/>
        <v>2.4048851631464752E-2</v>
      </c>
      <c r="L38" s="13">
        <f t="shared" si="26"/>
        <v>1.7258694135896757E-2</v>
      </c>
      <c r="M38" s="13">
        <f t="shared" si="26"/>
        <v>-6.6306968507900965E-3</v>
      </c>
      <c r="N38" s="13">
        <f t="shared" si="26"/>
        <v>1.529689513175958E-2</v>
      </c>
      <c r="O38" s="13">
        <f t="shared" si="26"/>
        <v>8.5647692065922154E-3</v>
      </c>
      <c r="P38" s="13">
        <f t="shared" si="26"/>
        <v>3.2819593701964189E-2</v>
      </c>
      <c r="Q38" s="13"/>
      <c r="R38" s="22">
        <f t="shared" si="27"/>
        <v>4.5280822904425477E-4</v>
      </c>
      <c r="S38" s="22">
        <f t="shared" si="28"/>
        <v>-3.7884553022027312E-4</v>
      </c>
      <c r="T38" s="22">
        <f t="shared" si="29"/>
        <v>-8.088335603861907E-4</v>
      </c>
      <c r="U38" s="22">
        <f t="shared" si="30"/>
        <v>-7.7057284670067894E-4</v>
      </c>
      <c r="V38" s="22">
        <f t="shared" si="31"/>
        <v>-1.5860463491115251E-3</v>
      </c>
      <c r="W38" s="22">
        <f t="shared" si="32"/>
        <v>-1.1682206902596803E-3</v>
      </c>
    </row>
    <row r="39" spans="2:23" s="6" customFormat="1" outlineLevel="1" x14ac:dyDescent="0.15">
      <c r="B39" s="11">
        <v>2029</v>
      </c>
      <c r="C39" s="13">
        <f t="shared" si="33"/>
        <v>2.9615764687663804E-2</v>
      </c>
      <c r="D39" s="13">
        <f t="shared" si="33"/>
        <v>1.6141937799053929E-2</v>
      </c>
      <c r="E39" s="13">
        <f t="shared" si="33"/>
        <v>-1.3086267082067282E-2</v>
      </c>
      <c r="F39" s="13">
        <f t="shared" si="33"/>
        <v>1.4926089694365485E-2</v>
      </c>
      <c r="G39" s="13">
        <f t="shared" si="33"/>
        <v>1.6444958160668488E-3</v>
      </c>
      <c r="H39" s="13">
        <f t="shared" si="33"/>
        <v>3.130896350484913E-2</v>
      </c>
      <c r="J39" s="11">
        <v>2029</v>
      </c>
      <c r="K39" s="13">
        <f t="shared" si="26"/>
        <v>2.9615764687663804E-2</v>
      </c>
      <c r="L39" s="13">
        <f t="shared" si="26"/>
        <v>1.563174039386972E-2</v>
      </c>
      <c r="M39" s="13">
        <f t="shared" si="26"/>
        <v>-1.3581789220211027E-2</v>
      </c>
      <c r="N39" s="13">
        <f t="shared" si="26"/>
        <v>1.6047780383110499E-2</v>
      </c>
      <c r="O39" s="13">
        <f t="shared" si="26"/>
        <v>2.2480335922838712E-3</v>
      </c>
      <c r="P39" s="13">
        <f t="shared" si="26"/>
        <v>3.1930375513826936E-2</v>
      </c>
      <c r="Q39" s="13"/>
      <c r="R39" s="22">
        <f t="shared" ref="R39" si="34">C39-K39</f>
        <v>0</v>
      </c>
      <c r="S39" s="22">
        <f t="shared" ref="S39" si="35">D39-L39</f>
        <v>5.1019740518420953E-4</v>
      </c>
      <c r="T39" s="22">
        <f t="shared" ref="T39" si="36">E39-M39</f>
        <v>4.9552213814374468E-4</v>
      </c>
      <c r="U39" s="22">
        <f t="shared" ref="U39" si="37">F39-N39</f>
        <v>-1.121690688745014E-3</v>
      </c>
      <c r="V39" s="22">
        <f t="shared" ref="V39" si="38">G39-O39</f>
        <v>-6.0353777621702243E-4</v>
      </c>
      <c r="W39" s="22">
        <f t="shared" ref="W39" si="39">H39-P39</f>
        <v>-6.2141200897780635E-4</v>
      </c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41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7BAA-B699-4DA5-83DE-B78233671EB0}">
  <dimension ref="B1:W50"/>
  <sheetViews>
    <sheetView topLeftCell="A19" zoomScale="150" zoomScaleNormal="150" workbookViewId="0">
      <selection activeCell="Y80" sqref="Y80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34</v>
      </c>
    </row>
    <row r="2" spans="2:23" s="6" customFormat="1" ht="11.5" customHeight="1" x14ac:dyDescent="0.15">
      <c r="K2" s="28" t="s">
        <v>19</v>
      </c>
      <c r="L2" s="28"/>
      <c r="M2" s="28"/>
      <c r="N2" s="28"/>
      <c r="O2" s="28"/>
      <c r="P2" s="28"/>
      <c r="Q2" s="29"/>
      <c r="R2" s="28" t="s">
        <v>26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24</v>
      </c>
      <c r="D3" s="8" t="s">
        <v>25</v>
      </c>
      <c r="E3" s="8" t="s">
        <v>17</v>
      </c>
      <c r="F3" s="8" t="s">
        <v>20</v>
      </c>
      <c r="G3" s="8" t="s">
        <v>21</v>
      </c>
      <c r="H3" s="8" t="s">
        <v>18</v>
      </c>
      <c r="K3" s="8" t="s">
        <v>24</v>
      </c>
      <c r="L3" s="8" t="s">
        <v>25</v>
      </c>
      <c r="M3" s="8" t="s">
        <v>17</v>
      </c>
      <c r="N3" s="8" t="s">
        <v>20</v>
      </c>
      <c r="O3" s="8" t="s">
        <v>21</v>
      </c>
      <c r="P3" s="8" t="s">
        <v>18</v>
      </c>
      <c r="Q3" s="18"/>
      <c r="R3" s="8" t="s">
        <v>24</v>
      </c>
      <c r="S3" s="8" t="s">
        <v>25</v>
      </c>
      <c r="T3" s="8" t="s">
        <v>17</v>
      </c>
      <c r="U3" s="8" t="s">
        <v>20</v>
      </c>
      <c r="V3" s="8" t="s">
        <v>21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96942.1667761274</v>
      </c>
      <c r="D5" s="12">
        <v>75210.276017761076</v>
      </c>
      <c r="E5" s="13">
        <f t="shared" ref="E5:E9" si="0">D5/C5</f>
        <v>0.77582623247371096</v>
      </c>
      <c r="F5" s="14">
        <v>0</v>
      </c>
      <c r="G5" s="14">
        <f t="shared" ref="G5:G9" si="1">(H5/365)/C5</f>
        <v>0</v>
      </c>
      <c r="H5" s="15">
        <f t="shared" ref="H5:H9" si="2">D5*F5*365</f>
        <v>0</v>
      </c>
      <c r="J5" s="5"/>
      <c r="K5" s="12">
        <v>96942.1667761274</v>
      </c>
      <c r="L5" s="12">
        <v>75210.276017761076</v>
      </c>
      <c r="M5" s="23">
        <v>0.77582623247371096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97675.010499964585</v>
      </c>
      <c r="D6" s="12">
        <v>76869.556868376676</v>
      </c>
      <c r="E6" s="13">
        <f t="shared" si="0"/>
        <v>0.78699307504455862</v>
      </c>
      <c r="F6" s="14">
        <v>147.24304749031293</v>
      </c>
      <c r="G6" s="14">
        <f t="shared" si="1"/>
        <v>115.87925872333335</v>
      </c>
      <c r="H6" s="15">
        <f t="shared" si="2"/>
        <v>4131255351.5733399</v>
      </c>
      <c r="J6" s="5"/>
      <c r="K6" s="12">
        <v>97675.010499964585</v>
      </c>
      <c r="L6" s="12">
        <v>76869.556868376676</v>
      </c>
      <c r="M6" s="23">
        <v>0.78699307504455862</v>
      </c>
      <c r="N6" s="14">
        <v>147.24304749031293</v>
      </c>
      <c r="O6" s="14">
        <v>115.87925872333335</v>
      </c>
      <c r="P6" s="15">
        <v>4131255351.5733399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97886.416666666672</v>
      </c>
      <c r="D7" s="12">
        <v>77965.275032001999</v>
      </c>
      <c r="E7" s="13">
        <f t="shared" si="0"/>
        <v>0.79648717040585637</v>
      </c>
      <c r="F7" s="14">
        <v>158.24020977113227</v>
      </c>
      <c r="G7" s="14">
        <f t="shared" si="1"/>
        <v>126.03629692503831</v>
      </c>
      <c r="H7" s="15">
        <f t="shared" si="2"/>
        <v>4503093138.713727</v>
      </c>
      <c r="J7" s="5"/>
      <c r="K7" s="12">
        <v>97886.416666666672</v>
      </c>
      <c r="L7" s="12">
        <v>77965.275032001999</v>
      </c>
      <c r="M7" s="23">
        <v>0.79648717040585637</v>
      </c>
      <c r="N7" s="14">
        <v>158.24020977113227</v>
      </c>
      <c r="O7" s="14">
        <v>126.03629692503831</v>
      </c>
      <c r="P7" s="15">
        <v>4503093138.713727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98180.333333333328</v>
      </c>
      <c r="D8" s="12">
        <v>79751.651923371086</v>
      </c>
      <c r="E8" s="13">
        <f t="shared" si="0"/>
        <v>0.81229762841204878</v>
      </c>
      <c r="F8" s="14">
        <v>172.09502151175994</v>
      </c>
      <c r="G8" s="14">
        <f t="shared" si="1"/>
        <v>139.79237783552313</v>
      </c>
      <c r="H8" s="15">
        <f t="shared" si="2"/>
        <v>5009574722.4730921</v>
      </c>
      <c r="J8" s="5"/>
      <c r="K8" s="12">
        <v>98180.333333333328</v>
      </c>
      <c r="L8" s="12">
        <v>79751.651923371086</v>
      </c>
      <c r="M8" s="23">
        <v>0.81229762841204878</v>
      </c>
      <c r="N8" s="14">
        <v>172.09502151175994</v>
      </c>
      <c r="O8" s="14">
        <v>139.79237783552313</v>
      </c>
      <c r="P8" s="15">
        <v>5009574722.4730921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100713.25</v>
      </c>
      <c r="D9" s="12">
        <v>80727.145772912045</v>
      </c>
      <c r="E9" s="13">
        <f t="shared" si="0"/>
        <v>0.80155437117670258</v>
      </c>
      <c r="F9" s="14">
        <v>175.94341830931054</v>
      </c>
      <c r="G9" s="14">
        <f t="shared" si="1"/>
        <v>141.02821602559897</v>
      </c>
      <c r="H9" s="15">
        <f t="shared" si="2"/>
        <v>5184244641.8386564</v>
      </c>
      <c r="J9" s="5"/>
      <c r="K9" s="12">
        <v>100713.25</v>
      </c>
      <c r="L9" s="12">
        <v>80727.145772912045</v>
      </c>
      <c r="M9" s="23">
        <v>0.80155437117670258</v>
      </c>
      <c r="N9" s="14">
        <v>175.94341830931054</v>
      </c>
      <c r="O9" s="14">
        <v>141.02821602559897</v>
      </c>
      <c r="P9" s="15">
        <v>5184244641.8386564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103717.83333333333</v>
      </c>
      <c r="D10" s="12">
        <v>82673.649679979455</v>
      </c>
      <c r="E10" s="13">
        <f>D10/C10</f>
        <v>0.79710158825125987</v>
      </c>
      <c r="F10" s="14">
        <v>180.25056966936054</v>
      </c>
      <c r="G10" s="14">
        <f>(H10/365)/C10</f>
        <v>143.67801536664166</v>
      </c>
      <c r="H10" s="15">
        <f>D10*F10*365</f>
        <v>5439219944.7834272</v>
      </c>
      <c r="J10" s="5"/>
      <c r="K10" s="12">
        <v>103717.83333333333</v>
      </c>
      <c r="L10" s="12">
        <v>82673.649679979455</v>
      </c>
      <c r="M10" s="23">
        <v>0.79710158825125987</v>
      </c>
      <c r="N10" s="14">
        <v>180.25056966936054</v>
      </c>
      <c r="O10" s="14">
        <v>143.67801536664166</v>
      </c>
      <c r="P10" s="15">
        <v>5439219944.7834272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110117.41666666667</v>
      </c>
      <c r="D11" s="12">
        <v>87207.572266833318</v>
      </c>
      <c r="E11" s="13">
        <f t="shared" ref="E11:E15" si="3">D11/C11</f>
        <v>0.79195076407228937</v>
      </c>
      <c r="F11" s="14">
        <v>177.20257604486906</v>
      </c>
      <c r="G11" s="14">
        <f t="shared" ref="G11:G15" si="4">(H11/365)/C11</f>
        <v>140.33571549431201</v>
      </c>
      <c r="H11" s="15">
        <f t="shared" ref="H11:H15" si="5">D11*F11*365</f>
        <v>5640493356.55021</v>
      </c>
      <c r="J11" s="11">
        <v>2019</v>
      </c>
      <c r="K11" s="12">
        <v>110117.41666666667</v>
      </c>
      <c r="L11" s="12">
        <v>87207.572266833318</v>
      </c>
      <c r="M11" s="23">
        <v>0.79195076407228937</v>
      </c>
      <c r="N11" s="14">
        <v>177.20257604486906</v>
      </c>
      <c r="O11" s="14">
        <v>140.33571549431201</v>
      </c>
      <c r="P11" s="15">
        <v>5640493356.55021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103802.41666666667</v>
      </c>
      <c r="D12" s="12">
        <v>51275.352562749991</v>
      </c>
      <c r="E12" s="13">
        <f t="shared" si="3"/>
        <v>0.49397070135088367</v>
      </c>
      <c r="F12" s="14">
        <v>137.69061521376901</v>
      </c>
      <c r="G12" s="14">
        <f t="shared" si="4"/>
        <v>68.015129766580131</v>
      </c>
      <c r="H12" s="15">
        <f t="shared" si="5"/>
        <v>2576949216.4788032</v>
      </c>
      <c r="J12" s="11">
        <v>2020</v>
      </c>
      <c r="K12" s="12">
        <v>103802.41666666667</v>
      </c>
      <c r="L12" s="12">
        <v>51275.352562749991</v>
      </c>
      <c r="M12" s="23">
        <v>0.49397070135088367</v>
      </c>
      <c r="N12" s="14">
        <v>137.69061521376901</v>
      </c>
      <c r="O12" s="14">
        <v>68.015129766580131</v>
      </c>
      <c r="P12" s="15">
        <v>2576949216.4788032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108138.75</v>
      </c>
      <c r="D13" s="12">
        <v>68984.612227519654</v>
      </c>
      <c r="E13" s="13">
        <f t="shared" si="3"/>
        <v>0.63792685071280786</v>
      </c>
      <c r="F13" s="14">
        <v>161.27203934546412</v>
      </c>
      <c r="G13" s="14">
        <f t="shared" si="4"/>
        <v>102.87976416768397</v>
      </c>
      <c r="H13" s="15">
        <f t="shared" si="5"/>
        <v>4060730520.5466695</v>
      </c>
      <c r="J13" s="11">
        <v>2021</v>
      </c>
      <c r="K13" s="12">
        <v>108138.75</v>
      </c>
      <c r="L13" s="12">
        <v>68984.612227519654</v>
      </c>
      <c r="M13" s="23">
        <v>0.63792685071280786</v>
      </c>
      <c r="N13" s="14">
        <v>161.27203934546412</v>
      </c>
      <c r="O13" s="14">
        <v>102.87976416768397</v>
      </c>
      <c r="P13" s="15">
        <v>4060730520.5466695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112876.16666666667</v>
      </c>
      <c r="D14" s="12">
        <v>79696.970654121804</v>
      </c>
      <c r="E14" s="13">
        <f t="shared" si="3"/>
        <v>0.70605667261428207</v>
      </c>
      <c r="F14" s="14">
        <v>197.29485728081698</v>
      </c>
      <c r="G14" s="14">
        <f t="shared" si="4"/>
        <v>139.30135045560331</v>
      </c>
      <c r="H14" s="15">
        <f t="shared" si="5"/>
        <v>5739187894.5852242</v>
      </c>
      <c r="J14" s="11">
        <v>2022</v>
      </c>
      <c r="K14" s="12">
        <v>112876.16666666667</v>
      </c>
      <c r="L14" s="12">
        <v>79696.970654121804</v>
      </c>
      <c r="M14" s="23">
        <v>0.70605667261428207</v>
      </c>
      <c r="N14" s="14">
        <v>197.29485728081698</v>
      </c>
      <c r="O14" s="14">
        <v>139.30135045560331</v>
      </c>
      <c r="P14" s="15">
        <v>5739187894.5852242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114343.85752688172</v>
      </c>
      <c r="D15" s="12">
        <v>81973.0048468608</v>
      </c>
      <c r="E15" s="13">
        <f t="shared" si="3"/>
        <v>0.71689906760045519</v>
      </c>
      <c r="F15" s="14">
        <v>203.51944565124973</v>
      </c>
      <c r="G15" s="14">
        <f t="shared" si="4"/>
        <v>145.90290082594245</v>
      </c>
      <c r="H15" s="15">
        <f t="shared" si="5"/>
        <v>6089331684.2521162</v>
      </c>
      <c r="J15" s="11">
        <v>2023</v>
      </c>
      <c r="K15" s="12">
        <v>114343.85752688172</v>
      </c>
      <c r="L15" s="12">
        <v>81973.0048468608</v>
      </c>
      <c r="M15" s="23">
        <v>0.71689906760045519</v>
      </c>
      <c r="N15" s="14">
        <v>203.51944565124973</v>
      </c>
      <c r="O15" s="14">
        <v>145.90290082594245</v>
      </c>
      <c r="P15" s="15">
        <v>6089331684.2521162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114204.16666666667</v>
      </c>
      <c r="D16" s="12">
        <v>82423.293593189956</v>
      </c>
      <c r="E16" s="13">
        <f t="shared" ref="E16:E18" si="6">D16/C16</f>
        <v>0.72171879537252681</v>
      </c>
      <c r="F16" s="14">
        <v>193.75345533880389</v>
      </c>
      <c r="G16" s="14">
        <f t="shared" ref="G16:G18" si="7">(H16/365)/C16</f>
        <v>139.8355103863862</v>
      </c>
      <c r="H16" s="15">
        <f t="shared" ref="H16:H18" si="8">D16*F16*365</f>
        <v>5828976245.9411163</v>
      </c>
      <c r="J16" s="11">
        <v>2024</v>
      </c>
      <c r="K16" s="12">
        <v>114204.16666666667</v>
      </c>
      <c r="L16" s="12">
        <v>82423.293593189956</v>
      </c>
      <c r="M16" s="23">
        <v>0.72171879537252681</v>
      </c>
      <c r="N16" s="14">
        <v>193.75345533880389</v>
      </c>
      <c r="O16" s="14">
        <v>139.8355103863862</v>
      </c>
      <c r="P16" s="15">
        <v>5828976245.9411163</v>
      </c>
      <c r="Q16" s="12"/>
      <c r="R16" s="25"/>
      <c r="S16" s="25"/>
      <c r="T16" s="24"/>
      <c r="U16" s="26"/>
      <c r="V16" s="26"/>
      <c r="W16" s="27"/>
    </row>
    <row r="17" spans="2:23" s="6" customFormat="1" ht="10.25" customHeight="1" outlineLevel="1" x14ac:dyDescent="0.15">
      <c r="B17" s="11">
        <v>2025</v>
      </c>
      <c r="C17" s="12">
        <v>113298</v>
      </c>
      <c r="D17" s="12">
        <v>81538.616399340477</v>
      </c>
      <c r="E17" s="13">
        <f t="shared" si="6"/>
        <v>0.71968275167558537</v>
      </c>
      <c r="F17" s="14">
        <v>194.6602461548365</v>
      </c>
      <c r="G17" s="14">
        <f t="shared" si="7"/>
        <v>140.09362159455952</v>
      </c>
      <c r="H17" s="15">
        <f t="shared" si="8"/>
        <v>5793399405.8884478</v>
      </c>
      <c r="J17" s="11">
        <v>2025</v>
      </c>
      <c r="K17" s="12">
        <v>113298</v>
      </c>
      <c r="L17" s="12">
        <v>81538.616399340477</v>
      </c>
      <c r="M17" s="23">
        <v>0.71968275167558537</v>
      </c>
      <c r="N17" s="14">
        <v>194.6602461548365</v>
      </c>
      <c r="O17" s="14">
        <v>140.09362159455952</v>
      </c>
      <c r="P17" s="15">
        <v>5793399405.8884478</v>
      </c>
      <c r="Q17" s="12"/>
      <c r="R17" s="25">
        <f t="shared" ref="R17:W20" si="9">C17-K17</f>
        <v>0</v>
      </c>
      <c r="S17" s="25">
        <f t="shared" si="9"/>
        <v>0</v>
      </c>
      <c r="T17" s="24">
        <f t="shared" si="9"/>
        <v>0</v>
      </c>
      <c r="U17" s="26">
        <f t="shared" si="9"/>
        <v>0</v>
      </c>
      <c r="V17" s="26">
        <f t="shared" si="9"/>
        <v>0</v>
      </c>
      <c r="W17" s="27">
        <f t="shared" si="9"/>
        <v>0</v>
      </c>
    </row>
    <row r="18" spans="2:23" s="6" customFormat="1" outlineLevel="1" x14ac:dyDescent="0.15">
      <c r="B18" s="11">
        <v>2026</v>
      </c>
      <c r="C18" s="12">
        <v>112561.5</v>
      </c>
      <c r="D18" s="12">
        <v>83006.606134297064</v>
      </c>
      <c r="E18" s="13">
        <f t="shared" si="6"/>
        <v>0.73743336872995713</v>
      </c>
      <c r="F18" s="14">
        <v>201.28390865369184</v>
      </c>
      <c r="G18" s="14">
        <f t="shared" si="7"/>
        <v>148.43347082962492</v>
      </c>
      <c r="H18" s="15">
        <f t="shared" si="8"/>
        <v>6098381356.2779217</v>
      </c>
      <c r="J18" s="11">
        <v>2026</v>
      </c>
      <c r="K18" s="12">
        <v>113663.33333333333</v>
      </c>
      <c r="L18" s="12">
        <v>82770.128422822905</v>
      </c>
      <c r="M18" s="23">
        <v>0.72820430296627092</v>
      </c>
      <c r="N18" s="14">
        <v>200.06344022194816</v>
      </c>
      <c r="O18" s="14">
        <v>145.68705803585794</v>
      </c>
      <c r="P18" s="15">
        <v>6044135973.5570765</v>
      </c>
      <c r="Q18" s="12"/>
      <c r="R18" s="25">
        <f t="shared" si="9"/>
        <v>-1101.8333333333285</v>
      </c>
      <c r="S18" s="25">
        <f t="shared" si="9"/>
        <v>236.47771147415915</v>
      </c>
      <c r="T18" s="24">
        <f t="shared" si="9"/>
        <v>9.2290657636862061E-3</v>
      </c>
      <c r="U18" s="26">
        <f t="shared" si="9"/>
        <v>1.2204684317436829</v>
      </c>
      <c r="V18" s="26">
        <f t="shared" si="9"/>
        <v>2.7464127937669787</v>
      </c>
      <c r="W18" s="27">
        <f t="shared" si="9"/>
        <v>54245382.720845222</v>
      </c>
    </row>
    <row r="19" spans="2:23" s="6" customFormat="1" outlineLevel="1" x14ac:dyDescent="0.15">
      <c r="B19" s="11">
        <v>2027</v>
      </c>
      <c r="C19" s="12">
        <v>113652.45</v>
      </c>
      <c r="D19" s="12">
        <v>84048.171356732884</v>
      </c>
      <c r="E19" s="13">
        <f t="shared" ref="E19" si="10">D19/C19</f>
        <v>0.73951922159823991</v>
      </c>
      <c r="F19" s="14">
        <v>208.60456917488671</v>
      </c>
      <c r="G19" s="14">
        <f t="shared" ref="G19" si="11">(H19/365)/C19</f>
        <v>154.2670886180484</v>
      </c>
      <c r="H19" s="15">
        <f t="shared" ref="H19" si="12">D19*F19*365</f>
        <v>6399483890.1700354</v>
      </c>
      <c r="J19" s="11">
        <v>2027</v>
      </c>
      <c r="K19" s="12">
        <v>115084.13333333335</v>
      </c>
      <c r="L19" s="12">
        <v>83623.166663641372</v>
      </c>
      <c r="M19" s="23">
        <v>0.72662637534431063</v>
      </c>
      <c r="N19" s="14">
        <v>204.07079731768599</v>
      </c>
      <c r="O19" s="14">
        <v>148.28322376857363</v>
      </c>
      <c r="P19" s="15">
        <v>6228741897.7768469</v>
      </c>
      <c r="Q19" s="12"/>
      <c r="R19" s="25">
        <f t="shared" si="9"/>
        <v>-1431.6833333333489</v>
      </c>
      <c r="S19" s="25">
        <f t="shared" si="9"/>
        <v>425.00469309151231</v>
      </c>
      <c r="T19" s="24">
        <f t="shared" si="9"/>
        <v>1.289284625392928E-2</v>
      </c>
      <c r="U19" s="26">
        <f t="shared" si="9"/>
        <v>4.5337718572007191</v>
      </c>
      <c r="V19" s="26">
        <f t="shared" si="9"/>
        <v>5.9838648494747702</v>
      </c>
      <c r="W19" s="27">
        <f t="shared" si="9"/>
        <v>170741992.39318848</v>
      </c>
    </row>
    <row r="20" spans="2:23" s="6" customFormat="1" outlineLevel="1" x14ac:dyDescent="0.15">
      <c r="B20" s="11">
        <v>2028</v>
      </c>
      <c r="C20" s="12">
        <v>115683.01666666666</v>
      </c>
      <c r="D20" s="12">
        <v>85845.597457413038</v>
      </c>
      <c r="E20" s="13">
        <f t="shared" ref="E20" si="13">D20/C20</f>
        <v>0.74207606207894572</v>
      </c>
      <c r="F20" s="14">
        <v>209.29261106124412</v>
      </c>
      <c r="G20" s="14">
        <f t="shared" ref="G20" si="14">(H20/365)/C20</f>
        <v>155.31103663854842</v>
      </c>
      <c r="H20" s="15">
        <f t="shared" ref="H20" si="15">D20*F20*365</f>
        <v>6557899972.590683</v>
      </c>
      <c r="J20" s="11">
        <v>2028</v>
      </c>
      <c r="K20" s="12">
        <v>115597.48303841134</v>
      </c>
      <c r="L20" s="12">
        <v>85389.320701959747</v>
      </c>
      <c r="M20" s="23">
        <v>0.73867802704308128</v>
      </c>
      <c r="N20" s="14">
        <v>208.81122148422679</v>
      </c>
      <c r="O20" s="14">
        <v>154.24426111042453</v>
      </c>
      <c r="P20" s="15">
        <v>6508040650.4818754</v>
      </c>
      <c r="Q20" s="12"/>
      <c r="R20" s="25">
        <f t="shared" si="9"/>
        <v>85.533628255318035</v>
      </c>
      <c r="S20" s="25">
        <f t="shared" si="9"/>
        <v>456.27675545329112</v>
      </c>
      <c r="T20" s="24">
        <f t="shared" si="9"/>
        <v>3.398035035864444E-3</v>
      </c>
      <c r="U20" s="26">
        <f t="shared" si="9"/>
        <v>0.48138957701732465</v>
      </c>
      <c r="V20" s="26">
        <f t="shared" si="9"/>
        <v>1.066775528123884</v>
      </c>
      <c r="W20" s="27">
        <f t="shared" si="9"/>
        <v>49859322.108807564</v>
      </c>
    </row>
    <row r="21" spans="2:23" s="6" customFormat="1" outlineLevel="1" x14ac:dyDescent="0.15">
      <c r="B21" s="11">
        <v>2029</v>
      </c>
      <c r="C21" s="12">
        <v>116261.43175000003</v>
      </c>
      <c r="D21" s="12">
        <v>87177.592013529502</v>
      </c>
      <c r="E21" s="13">
        <f t="shared" ref="E21" si="16">D21/C21</f>
        <v>0.74984103241554545</v>
      </c>
      <c r="F21" s="14">
        <v>212.7032554522423</v>
      </c>
      <c r="G21" s="14">
        <f t="shared" ref="G21" si="17">(H21/365)/C21</f>
        <v>159.49362866645689</v>
      </c>
      <c r="H21" s="15">
        <f t="shared" ref="H21" si="18">D21*F21*365</f>
        <v>6768179532.6742706</v>
      </c>
      <c r="J21" s="11">
        <v>2029</v>
      </c>
      <c r="K21" s="12">
        <v>116175.47045360344</v>
      </c>
      <c r="L21" s="12">
        <v>86703.995319357433</v>
      </c>
      <c r="M21" s="23">
        <v>0.74631929598239999</v>
      </c>
      <c r="N21" s="14">
        <v>212.23259601502323</v>
      </c>
      <c r="O21" s="14">
        <v>158.39328164244924</v>
      </c>
      <c r="P21" s="15">
        <v>6716516114.198103</v>
      </c>
      <c r="Q21" s="12"/>
      <c r="R21" s="25">
        <f t="shared" ref="R21" si="19">C21-K21</f>
        <v>85.961296396591933</v>
      </c>
      <c r="S21" s="25">
        <f t="shared" ref="S21" si="20">D21-L21</f>
        <v>473.59669417206896</v>
      </c>
      <c r="T21" s="24">
        <f t="shared" ref="T21" si="21">E21-M21</f>
        <v>3.5217364331454615E-3</v>
      </c>
      <c r="U21" s="26">
        <f t="shared" ref="U21" si="22">F21-N21</f>
        <v>0.47065943721906933</v>
      </c>
      <c r="V21" s="26">
        <f t="shared" ref="V21" si="23">G21-O21</f>
        <v>1.1003470240076467</v>
      </c>
      <c r="W21" s="27">
        <f t="shared" ref="W21" si="24">H21-P21</f>
        <v>51663418.476167679</v>
      </c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f t="shared" ref="C24:H33" si="25">C6/C5-1</f>
        <v>7.5595971104047699E-3</v>
      </c>
      <c r="D24" s="13">
        <f t="shared" si="25"/>
        <v>2.2061890189363886E-2</v>
      </c>
      <c r="E24" s="13">
        <f t="shared" si="25"/>
        <v>1.4393484137862123E-2</v>
      </c>
      <c r="F24" s="13" t="e">
        <f t="shared" si="25"/>
        <v>#DIV/0!</v>
      </c>
      <c r="G24" s="13" t="e">
        <f t="shared" si="25"/>
        <v>#DIV/0!</v>
      </c>
      <c r="H24" s="13" t="e">
        <f t="shared" si="25"/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f t="shared" si="25"/>
        <v>2.1643833527118517E-3</v>
      </c>
      <c r="D25" s="13">
        <f t="shared" si="25"/>
        <v>1.4254253676803552E-2</v>
      </c>
      <c r="E25" s="13">
        <f t="shared" si="25"/>
        <v>1.2063759723375256E-2</v>
      </c>
      <c r="F25" s="13">
        <f t="shared" si="25"/>
        <v>7.4687141214887065E-2</v>
      </c>
      <c r="G25" s="13">
        <f t="shared" si="25"/>
        <v>8.7651908664304834E-2</v>
      </c>
      <c r="H25" s="13">
        <f t="shared" si="25"/>
        <v>9.0006004348962998E-2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f t="shared" si="25"/>
        <v>3.0026297485945541E-3</v>
      </c>
      <c r="D26" s="13">
        <f t="shared" si="25"/>
        <v>2.2912468283294629E-2</v>
      </c>
      <c r="E26" s="13">
        <f t="shared" si="25"/>
        <v>1.9850235626690749E-2</v>
      </c>
      <c r="F26" s="13">
        <f t="shared" si="25"/>
        <v>8.7555569855893856E-2</v>
      </c>
      <c r="G26" s="13">
        <f t="shared" si="25"/>
        <v>0.10914380417465308</v>
      </c>
      <c r="H26" s="13">
        <f t="shared" si="25"/>
        <v>0.11247415235653713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f t="shared" si="25"/>
        <v>2.579861547288842E-2</v>
      </c>
      <c r="D27" s="13">
        <f t="shared" si="25"/>
        <v>1.2231644436384359E-2</v>
      </c>
      <c r="E27" s="13">
        <f t="shared" si="25"/>
        <v>-1.3225764620719227E-2</v>
      </c>
      <c r="F27" s="13">
        <f t="shared" si="25"/>
        <v>2.2362046058884033E-2</v>
      </c>
      <c r="G27" s="13">
        <f t="shared" si="25"/>
        <v>8.8405262805522078E-3</v>
      </c>
      <c r="H27" s="13">
        <f t="shared" si="25"/>
        <v>3.4867215091530568E-2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f t="shared" si="25"/>
        <v>2.983304911055229E-2</v>
      </c>
      <c r="D28" s="13">
        <f t="shared" si="25"/>
        <v>2.4112135867443873E-2</v>
      </c>
      <c r="E28" s="13">
        <f t="shared" si="25"/>
        <v>-5.5551851322398482E-3</v>
      </c>
      <c r="F28" s="13">
        <f t="shared" si="25"/>
        <v>2.4480321011371764E-2</v>
      </c>
      <c r="G28" s="13">
        <f t="shared" si="25"/>
        <v>1.8789143163816968E-2</v>
      </c>
      <c r="H28" s="13">
        <f t="shared" si="25"/>
        <v>4.9182729705120609E-2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f>B11</f>
        <v>2019</v>
      </c>
      <c r="C29" s="13">
        <f t="shared" si="25"/>
        <v>6.1701860978584655E-2</v>
      </c>
      <c r="D29" s="13">
        <f t="shared" si="25"/>
        <v>5.4841205201465959E-2</v>
      </c>
      <c r="E29" s="13">
        <f t="shared" si="25"/>
        <v>-6.4619419342404338E-3</v>
      </c>
      <c r="F29" s="13">
        <f t="shared" si="25"/>
        <v>-1.6909758621470705E-2</v>
      </c>
      <c r="G29" s="13">
        <f t="shared" si="25"/>
        <v>-2.3262430677377322E-2</v>
      </c>
      <c r="H29" s="13">
        <f t="shared" si="25"/>
        <v>3.7004095037527884E-2</v>
      </c>
      <c r="J29" s="11">
        <f>J11</f>
        <v>2019</v>
      </c>
      <c r="K29" s="13">
        <f t="shared" ref="K29:P39" si="26">K11/K10-1</f>
        <v>6.1701860978584655E-2</v>
      </c>
      <c r="L29" s="13">
        <f t="shared" si="26"/>
        <v>5.4841205201465959E-2</v>
      </c>
      <c r="M29" s="13">
        <f t="shared" si="26"/>
        <v>-6.4619419342404338E-3</v>
      </c>
      <c r="N29" s="13">
        <f t="shared" si="26"/>
        <v>-1.6909758621470705E-2</v>
      </c>
      <c r="O29" s="13">
        <f t="shared" si="26"/>
        <v>-2.3262430677377322E-2</v>
      </c>
      <c r="P29" s="13">
        <f t="shared" si="26"/>
        <v>3.7004095037527884E-2</v>
      </c>
      <c r="Q29" s="13"/>
      <c r="R29" s="22">
        <f t="shared" ref="R29:R38" si="27">C29-K29</f>
        <v>0</v>
      </c>
      <c r="S29" s="22">
        <f t="shared" ref="S29:S38" si="28">D29-L29</f>
        <v>0</v>
      </c>
      <c r="T29" s="22">
        <f t="shared" ref="T29:T38" si="29">E29-M29</f>
        <v>0</v>
      </c>
      <c r="U29" s="22">
        <f t="shared" ref="U29:U38" si="30">F29-N29</f>
        <v>0</v>
      </c>
      <c r="V29" s="22">
        <f t="shared" ref="V29:V38" si="31">G29-O29</f>
        <v>0</v>
      </c>
      <c r="W29" s="22">
        <f t="shared" ref="W29:W38" si="32">H29-P29</f>
        <v>0</v>
      </c>
    </row>
    <row r="30" spans="2:23" s="6" customFormat="1" x14ac:dyDescent="0.15">
      <c r="B30" s="11">
        <f>B12</f>
        <v>2020</v>
      </c>
      <c r="C30" s="13">
        <f t="shared" si="25"/>
        <v>-5.7347876395574704E-2</v>
      </c>
      <c r="D30" s="13">
        <f t="shared" si="25"/>
        <v>-0.41203095981321136</v>
      </c>
      <c r="E30" s="13">
        <f t="shared" si="25"/>
        <v>-0.37626084377917979</v>
      </c>
      <c r="F30" s="13">
        <f t="shared" si="25"/>
        <v>-0.22297622141280449</v>
      </c>
      <c r="G30" s="13">
        <f t="shared" si="25"/>
        <v>-0.51533984398050925</v>
      </c>
      <c r="H30" s="13">
        <f t="shared" si="25"/>
        <v>-0.54313407470177488</v>
      </c>
      <c r="J30" s="11">
        <f>J12</f>
        <v>2020</v>
      </c>
      <c r="K30" s="13">
        <f t="shared" si="26"/>
        <v>-5.7347876395574704E-2</v>
      </c>
      <c r="L30" s="13">
        <f t="shared" si="26"/>
        <v>-0.41203095981321136</v>
      </c>
      <c r="M30" s="13">
        <f t="shared" si="26"/>
        <v>-0.37626084377917979</v>
      </c>
      <c r="N30" s="13">
        <f t="shared" si="26"/>
        <v>-0.22297622141280449</v>
      </c>
      <c r="O30" s="13">
        <f t="shared" si="26"/>
        <v>-0.51533984398050925</v>
      </c>
      <c r="P30" s="13">
        <f t="shared" si="26"/>
        <v>-0.54313407470177488</v>
      </c>
      <c r="Q30" s="13"/>
      <c r="R30" s="22">
        <f t="shared" si="27"/>
        <v>0</v>
      </c>
      <c r="S30" s="22">
        <f t="shared" si="28"/>
        <v>0</v>
      </c>
      <c r="T30" s="22">
        <f t="shared" si="29"/>
        <v>0</v>
      </c>
      <c r="U30" s="22">
        <f t="shared" si="30"/>
        <v>0</v>
      </c>
      <c r="V30" s="22">
        <f t="shared" si="31"/>
        <v>0</v>
      </c>
      <c r="W30" s="22">
        <f t="shared" si="32"/>
        <v>0</v>
      </c>
    </row>
    <row r="31" spans="2:23" s="6" customFormat="1" x14ac:dyDescent="0.15">
      <c r="B31" s="11">
        <f>B13</f>
        <v>2021</v>
      </c>
      <c r="C31" s="13">
        <f t="shared" si="25"/>
        <v>4.1774878394770676E-2</v>
      </c>
      <c r="D31" s="13">
        <f t="shared" si="25"/>
        <v>0.34537567817007875</v>
      </c>
      <c r="E31" s="13">
        <f t="shared" si="25"/>
        <v>0.29142649345040272</v>
      </c>
      <c r="F31" s="13">
        <f t="shared" si="25"/>
        <v>0.17126384463519329</v>
      </c>
      <c r="G31" s="13">
        <f t="shared" si="25"/>
        <v>0.51260115978246512</v>
      </c>
      <c r="H31" s="13">
        <f t="shared" si="25"/>
        <v>0.5757898892921669</v>
      </c>
      <c r="J31" s="11">
        <f>J13</f>
        <v>2021</v>
      </c>
      <c r="K31" s="13">
        <f t="shared" si="26"/>
        <v>4.1774878394770676E-2</v>
      </c>
      <c r="L31" s="13">
        <f t="shared" si="26"/>
        <v>0.34537567817007875</v>
      </c>
      <c r="M31" s="13">
        <f t="shared" si="26"/>
        <v>0.29142649345040272</v>
      </c>
      <c r="N31" s="13">
        <f t="shared" si="26"/>
        <v>0.17126384463519329</v>
      </c>
      <c r="O31" s="13">
        <f t="shared" si="26"/>
        <v>0.51260115978246512</v>
      </c>
      <c r="P31" s="13">
        <f t="shared" si="26"/>
        <v>0.5757898892921669</v>
      </c>
      <c r="Q31" s="13"/>
      <c r="R31" s="22">
        <f t="shared" si="27"/>
        <v>0</v>
      </c>
      <c r="S31" s="22">
        <f t="shared" si="28"/>
        <v>0</v>
      </c>
      <c r="T31" s="22">
        <f t="shared" si="29"/>
        <v>0</v>
      </c>
      <c r="U31" s="22">
        <f t="shared" si="30"/>
        <v>0</v>
      </c>
      <c r="V31" s="22">
        <f t="shared" si="31"/>
        <v>0</v>
      </c>
      <c r="W31" s="22">
        <f t="shared" si="32"/>
        <v>0</v>
      </c>
    </row>
    <row r="32" spans="2:23" s="6" customFormat="1" outlineLevel="1" x14ac:dyDescent="0.15">
      <c r="B32" s="11">
        <f>B14</f>
        <v>2022</v>
      </c>
      <c r="C32" s="13">
        <f t="shared" si="25"/>
        <v>4.3808687141905001E-2</v>
      </c>
      <c r="D32" s="13">
        <f t="shared" si="25"/>
        <v>0.15528620196155463</v>
      </c>
      <c r="E32" s="13">
        <f t="shared" si="25"/>
        <v>0.10679879961996774</v>
      </c>
      <c r="F32" s="13">
        <f t="shared" si="25"/>
        <v>0.22336679117815117</v>
      </c>
      <c r="G32" s="13">
        <f t="shared" si="25"/>
        <v>0.35402089597090947</v>
      </c>
      <c r="H32" s="13">
        <f t="shared" si="25"/>
        <v>0.41333877378610073</v>
      </c>
      <c r="J32" s="11">
        <f>J14</f>
        <v>2022</v>
      </c>
      <c r="K32" s="13">
        <f t="shared" si="26"/>
        <v>4.3808687141905001E-2</v>
      </c>
      <c r="L32" s="13">
        <f t="shared" si="26"/>
        <v>0.15528620196155463</v>
      </c>
      <c r="M32" s="13">
        <f t="shared" si="26"/>
        <v>0.10679879961996774</v>
      </c>
      <c r="N32" s="13">
        <f t="shared" si="26"/>
        <v>0.22336679117815117</v>
      </c>
      <c r="O32" s="13">
        <f t="shared" si="26"/>
        <v>0.35402089597090947</v>
      </c>
      <c r="P32" s="13">
        <f t="shared" si="26"/>
        <v>0.41333877378610073</v>
      </c>
      <c r="Q32" s="13"/>
      <c r="R32" s="22">
        <f t="shared" si="27"/>
        <v>0</v>
      </c>
      <c r="S32" s="22">
        <f t="shared" si="28"/>
        <v>0</v>
      </c>
      <c r="T32" s="22">
        <f t="shared" si="29"/>
        <v>0</v>
      </c>
      <c r="U32" s="22">
        <f t="shared" si="30"/>
        <v>0</v>
      </c>
      <c r="V32" s="22">
        <f t="shared" si="31"/>
        <v>0</v>
      </c>
      <c r="W32" s="22">
        <f t="shared" si="32"/>
        <v>0</v>
      </c>
    </row>
    <row r="33" spans="2:23" s="6" customFormat="1" outlineLevel="1" x14ac:dyDescent="0.15">
      <c r="B33" s="11">
        <v>2023</v>
      </c>
      <c r="C33" s="13">
        <f t="shared" si="25"/>
        <v>1.3002663924168045E-2</v>
      </c>
      <c r="D33" s="13">
        <f t="shared" si="25"/>
        <v>2.8558603596324783E-2</v>
      </c>
      <c r="E33" s="13">
        <f t="shared" si="25"/>
        <v>1.5356267289462044E-2</v>
      </c>
      <c r="F33" s="13">
        <f t="shared" si="25"/>
        <v>3.1549673702711223E-2</v>
      </c>
      <c r="G33" s="13">
        <f t="shared" si="25"/>
        <v>4.7390426214447334E-2</v>
      </c>
      <c r="H33" s="13">
        <f t="shared" si="25"/>
        <v>6.100929192390514E-2</v>
      </c>
      <c r="J33" s="11">
        <v>2023</v>
      </c>
      <c r="K33" s="13">
        <f t="shared" si="26"/>
        <v>1.3002663924168045E-2</v>
      </c>
      <c r="L33" s="13">
        <f t="shared" si="26"/>
        <v>2.8558603596324783E-2</v>
      </c>
      <c r="M33" s="13">
        <f t="shared" si="26"/>
        <v>1.5356267289462044E-2</v>
      </c>
      <c r="N33" s="13">
        <f t="shared" si="26"/>
        <v>3.1549673702711223E-2</v>
      </c>
      <c r="O33" s="13">
        <f t="shared" si="26"/>
        <v>4.7390426214447334E-2</v>
      </c>
      <c r="P33" s="13">
        <f t="shared" si="26"/>
        <v>6.100929192390514E-2</v>
      </c>
      <c r="Q33" s="13"/>
      <c r="R33" s="22">
        <f t="shared" si="27"/>
        <v>0</v>
      </c>
      <c r="S33" s="22">
        <f t="shared" si="28"/>
        <v>0</v>
      </c>
      <c r="T33" s="22">
        <f t="shared" si="29"/>
        <v>0</v>
      </c>
      <c r="U33" s="22">
        <f t="shared" si="30"/>
        <v>0</v>
      </c>
      <c r="V33" s="22">
        <f t="shared" si="31"/>
        <v>0</v>
      </c>
      <c r="W33" s="22">
        <f t="shared" si="32"/>
        <v>0</v>
      </c>
    </row>
    <row r="34" spans="2:23" s="6" customFormat="1" outlineLevel="1" x14ac:dyDescent="0.15">
      <c r="B34" s="11">
        <v>2024</v>
      </c>
      <c r="C34" s="13">
        <f t="shared" ref="C34:H39" si="33">C16/C15-1</f>
        <v>-1.2216734963853559E-3</v>
      </c>
      <c r="D34" s="13">
        <f t="shared" si="33"/>
        <v>5.4931345650970353E-3</v>
      </c>
      <c r="E34" s="13">
        <f t="shared" si="33"/>
        <v>6.7230213985405296E-3</v>
      </c>
      <c r="F34" s="13">
        <f t="shared" si="33"/>
        <v>-4.7985539078073236E-2</v>
      </c>
      <c r="G34" s="13">
        <f t="shared" si="33"/>
        <v>-4.1585125485575136E-2</v>
      </c>
      <c r="H34" s="13">
        <f t="shared" si="33"/>
        <v>-4.2755995536310931E-2</v>
      </c>
      <c r="J34" s="11">
        <v>2024</v>
      </c>
      <c r="K34" s="13">
        <f t="shared" si="26"/>
        <v>-1.2216734963853559E-3</v>
      </c>
      <c r="L34" s="13">
        <f t="shared" si="26"/>
        <v>5.4931345650970353E-3</v>
      </c>
      <c r="M34" s="13">
        <f t="shared" si="26"/>
        <v>6.7230213985405296E-3</v>
      </c>
      <c r="N34" s="13">
        <f t="shared" si="26"/>
        <v>-4.7985539078073236E-2</v>
      </c>
      <c r="O34" s="13">
        <f t="shared" si="26"/>
        <v>-4.1585125485575136E-2</v>
      </c>
      <c r="P34" s="13">
        <f t="shared" si="26"/>
        <v>-4.2755995536310931E-2</v>
      </c>
      <c r="Q34" s="13"/>
      <c r="R34" s="22">
        <f t="shared" si="27"/>
        <v>0</v>
      </c>
      <c r="S34" s="22">
        <f t="shared" si="28"/>
        <v>0</v>
      </c>
      <c r="T34" s="22">
        <f t="shared" si="29"/>
        <v>0</v>
      </c>
      <c r="U34" s="22">
        <f t="shared" si="30"/>
        <v>0</v>
      </c>
      <c r="V34" s="22">
        <f t="shared" si="31"/>
        <v>0</v>
      </c>
      <c r="W34" s="22">
        <f t="shared" si="32"/>
        <v>0</v>
      </c>
    </row>
    <row r="35" spans="2:23" s="6" customFormat="1" outlineLevel="1" x14ac:dyDescent="0.15">
      <c r="B35" s="11">
        <v>2025</v>
      </c>
      <c r="C35" s="13">
        <f t="shared" si="33"/>
        <v>-7.9346200153235236E-3</v>
      </c>
      <c r="D35" s="13">
        <f t="shared" si="33"/>
        <v>-1.0733339512200346E-2</v>
      </c>
      <c r="E35" s="13">
        <f t="shared" si="33"/>
        <v>-2.8211038842219649E-3</v>
      </c>
      <c r="F35" s="13">
        <f t="shared" si="33"/>
        <v>4.680127197974171E-3</v>
      </c>
      <c r="G35" s="13">
        <f t="shared" si="33"/>
        <v>1.8458201887354697E-3</v>
      </c>
      <c r="H35" s="13">
        <f t="shared" si="33"/>
        <v>-6.1034457084023774E-3</v>
      </c>
      <c r="J35" s="11">
        <v>2025</v>
      </c>
      <c r="K35" s="13">
        <f t="shared" si="26"/>
        <v>-7.9346200153235236E-3</v>
      </c>
      <c r="L35" s="13">
        <f t="shared" si="26"/>
        <v>-1.0733339512200346E-2</v>
      </c>
      <c r="M35" s="13">
        <f t="shared" si="26"/>
        <v>-2.8211038842219649E-3</v>
      </c>
      <c r="N35" s="13">
        <f t="shared" si="26"/>
        <v>4.680127197974171E-3</v>
      </c>
      <c r="O35" s="13">
        <f t="shared" si="26"/>
        <v>1.8458201887354697E-3</v>
      </c>
      <c r="P35" s="13">
        <f t="shared" si="26"/>
        <v>-6.1034457084023774E-3</v>
      </c>
      <c r="Q35" s="13"/>
      <c r="R35" s="22">
        <f t="shared" si="27"/>
        <v>0</v>
      </c>
      <c r="S35" s="22">
        <f t="shared" si="28"/>
        <v>0</v>
      </c>
      <c r="T35" s="22">
        <f t="shared" si="29"/>
        <v>0</v>
      </c>
      <c r="U35" s="22">
        <f t="shared" si="30"/>
        <v>0</v>
      </c>
      <c r="V35" s="22">
        <f t="shared" si="31"/>
        <v>0</v>
      </c>
      <c r="W35" s="22">
        <f t="shared" si="32"/>
        <v>0</v>
      </c>
    </row>
    <row r="36" spans="2:23" s="6" customFormat="1" outlineLevel="1" x14ac:dyDescent="0.15">
      <c r="B36" s="11">
        <v>2026</v>
      </c>
      <c r="C36" s="13">
        <f t="shared" si="33"/>
        <v>-6.5005560557115372E-3</v>
      </c>
      <c r="D36" s="13">
        <f t="shared" si="33"/>
        <v>1.8003613499731452E-2</v>
      </c>
      <c r="E36" s="13">
        <f t="shared" si="33"/>
        <v>2.466450253676955E-2</v>
      </c>
      <c r="F36" s="13">
        <f t="shared" si="33"/>
        <v>3.4026785795733261E-2</v>
      </c>
      <c r="G36" s="13">
        <f t="shared" si="33"/>
        <v>5.9530542077079751E-2</v>
      </c>
      <c r="H36" s="13">
        <f t="shared" si="33"/>
        <v>5.2643004395569237E-2</v>
      </c>
      <c r="J36" s="11">
        <v>2026</v>
      </c>
      <c r="K36" s="13">
        <f t="shared" si="26"/>
        <v>3.2245347078794229E-3</v>
      </c>
      <c r="L36" s="13">
        <f t="shared" si="26"/>
        <v>1.510342065961745E-2</v>
      </c>
      <c r="M36" s="13">
        <f t="shared" si="26"/>
        <v>1.1840705186897171E-2</v>
      </c>
      <c r="N36" s="13">
        <f t="shared" si="26"/>
        <v>2.7757049391655686E-2</v>
      </c>
      <c r="O36" s="13">
        <f t="shared" si="26"/>
        <v>3.992641761725757E-2</v>
      </c>
      <c r="P36" s="13">
        <f t="shared" si="26"/>
        <v>4.3279696444505245E-2</v>
      </c>
      <c r="Q36" s="13"/>
      <c r="R36" s="22">
        <f t="shared" si="27"/>
        <v>-9.72509076359096E-3</v>
      </c>
      <c r="S36" s="22">
        <f t="shared" si="28"/>
        <v>2.900192840114002E-3</v>
      </c>
      <c r="T36" s="22">
        <f t="shared" si="29"/>
        <v>1.2823797349872379E-2</v>
      </c>
      <c r="U36" s="22">
        <f t="shared" si="30"/>
        <v>6.2697364040775749E-3</v>
      </c>
      <c r="V36" s="22">
        <f t="shared" si="31"/>
        <v>1.9604124459822181E-2</v>
      </c>
      <c r="W36" s="22">
        <f t="shared" si="32"/>
        <v>9.3633079510639927E-3</v>
      </c>
    </row>
    <row r="37" spans="2:23" s="6" customFormat="1" outlineLevel="1" x14ac:dyDescent="0.15">
      <c r="B37" s="11">
        <v>2027</v>
      </c>
      <c r="C37" s="13">
        <f t="shared" si="33"/>
        <v>9.6920350208551387E-3</v>
      </c>
      <c r="D37" s="13">
        <f t="shared" si="33"/>
        <v>1.2547979865008108E-2</v>
      </c>
      <c r="E37" s="13">
        <f t="shared" si="33"/>
        <v>2.8285306262654242E-3</v>
      </c>
      <c r="F37" s="13">
        <f t="shared" si="33"/>
        <v>3.6369824941098639E-2</v>
      </c>
      <c r="G37" s="13">
        <f t="shared" si="33"/>
        <v>3.9301228731082105E-2</v>
      </c>
      <c r="H37" s="13">
        <f t="shared" si="33"/>
        <v>4.9374172637161484E-2</v>
      </c>
      <c r="J37" s="11">
        <v>2027</v>
      </c>
      <c r="K37" s="13">
        <f t="shared" si="26"/>
        <v>1.250007331593328E-2</v>
      </c>
      <c r="L37" s="13">
        <f t="shared" si="26"/>
        <v>1.0306112326669448E-2</v>
      </c>
      <c r="M37" s="13">
        <f t="shared" si="26"/>
        <v>-2.1668748942196281E-3</v>
      </c>
      <c r="N37" s="13">
        <f t="shared" si="26"/>
        <v>2.003043180349251E-2</v>
      </c>
      <c r="O37" s="13">
        <f t="shared" si="26"/>
        <v>1.782015346947774E-2</v>
      </c>
      <c r="P37" s="13">
        <f t="shared" si="26"/>
        <v>3.0542980010280329E-2</v>
      </c>
      <c r="Q37" s="13"/>
      <c r="R37" s="22">
        <f t="shared" si="27"/>
        <v>-2.8080382950781413E-3</v>
      </c>
      <c r="S37" s="22">
        <f t="shared" si="28"/>
        <v>2.2418675383386599E-3</v>
      </c>
      <c r="T37" s="22">
        <f t="shared" si="29"/>
        <v>4.9954055204850523E-3</v>
      </c>
      <c r="U37" s="22">
        <f t="shared" si="30"/>
        <v>1.6339393137606129E-2</v>
      </c>
      <c r="V37" s="22">
        <f t="shared" si="31"/>
        <v>2.1481075261604365E-2</v>
      </c>
      <c r="W37" s="22">
        <f t="shared" si="32"/>
        <v>1.8831192626881155E-2</v>
      </c>
    </row>
    <row r="38" spans="2:23" s="6" customFormat="1" outlineLevel="1" x14ac:dyDescent="0.15">
      <c r="B38" s="11">
        <v>2028</v>
      </c>
      <c r="C38" s="13">
        <f t="shared" si="33"/>
        <v>1.7866457490944176E-2</v>
      </c>
      <c r="D38" s="13">
        <f t="shared" si="33"/>
        <v>2.1385665763639095E-2</v>
      </c>
      <c r="E38" s="13">
        <f t="shared" si="33"/>
        <v>3.4574361369268392E-3</v>
      </c>
      <c r="F38" s="13">
        <f t="shared" si="33"/>
        <v>3.2983068831085038E-3</v>
      </c>
      <c r="G38" s="13">
        <f t="shared" si="33"/>
        <v>6.7671467054437606E-3</v>
      </c>
      <c r="H38" s="13">
        <f t="shared" si="33"/>
        <v>2.4754509135335612E-2</v>
      </c>
      <c r="J38" s="11">
        <v>2028</v>
      </c>
      <c r="K38" s="13">
        <f t="shared" si="26"/>
        <v>4.4606470953829636E-3</v>
      </c>
      <c r="L38" s="13">
        <f t="shared" si="26"/>
        <v>2.1120391738121969E-2</v>
      </c>
      <c r="M38" s="13">
        <f t="shared" si="26"/>
        <v>1.6585761414261935E-2</v>
      </c>
      <c r="N38" s="13">
        <f t="shared" si="26"/>
        <v>2.3229311733227398E-2</v>
      </c>
      <c r="O38" s="13">
        <f t="shared" si="26"/>
        <v>4.020034896971425E-2</v>
      </c>
      <c r="P38" s="13">
        <f t="shared" si="26"/>
        <v>4.484031563496238E-2</v>
      </c>
      <c r="Q38" s="13"/>
      <c r="R38" s="22">
        <f t="shared" si="27"/>
        <v>1.3405810395561213E-2</v>
      </c>
      <c r="S38" s="22">
        <f t="shared" si="28"/>
        <v>2.6527402551712598E-4</v>
      </c>
      <c r="T38" s="22">
        <f t="shared" si="29"/>
        <v>-1.3128325277335096E-2</v>
      </c>
      <c r="U38" s="22">
        <f t="shared" si="30"/>
        <v>-1.9931004850118894E-2</v>
      </c>
      <c r="V38" s="22">
        <f t="shared" si="31"/>
        <v>-3.343320226427049E-2</v>
      </c>
      <c r="W38" s="22">
        <f t="shared" si="32"/>
        <v>-2.0085806499626768E-2</v>
      </c>
    </row>
    <row r="39" spans="2:23" s="6" customFormat="1" outlineLevel="1" x14ac:dyDescent="0.15">
      <c r="B39" s="11">
        <v>2029</v>
      </c>
      <c r="C39" s="13">
        <f t="shared" si="33"/>
        <v>5.0000000000003375E-3</v>
      </c>
      <c r="D39" s="13">
        <f t="shared" si="33"/>
        <v>1.5516166181699154E-2</v>
      </c>
      <c r="E39" s="13">
        <f t="shared" si="33"/>
        <v>1.0463846946963784E-2</v>
      </c>
      <c r="F39" s="13">
        <f t="shared" si="33"/>
        <v>1.6296057341461223E-2</v>
      </c>
      <c r="G39" s="13">
        <f t="shared" si="33"/>
        <v>2.6930423738285247E-2</v>
      </c>
      <c r="H39" s="13">
        <f t="shared" si="33"/>
        <v>3.2065075856976932E-2</v>
      </c>
      <c r="J39" s="11">
        <v>2029</v>
      </c>
      <c r="K39" s="13">
        <f t="shared" si="26"/>
        <v>5.0000000000003375E-3</v>
      </c>
      <c r="L39" s="13">
        <f t="shared" si="26"/>
        <v>1.5396241668046429E-2</v>
      </c>
      <c r="M39" s="13">
        <f t="shared" si="26"/>
        <v>1.0344519072682523E-2</v>
      </c>
      <c r="N39" s="13">
        <f t="shared" si="26"/>
        <v>1.6385012771235941E-2</v>
      </c>
      <c r="O39" s="13">
        <f t="shared" si="26"/>
        <v>2.6899026921036517E-2</v>
      </c>
      <c r="P39" s="13">
        <f t="shared" si="26"/>
        <v>3.203352205564225E-2</v>
      </c>
      <c r="Q39" s="13"/>
      <c r="R39" s="22">
        <f t="shared" ref="R39" si="34">C39-K39</f>
        <v>0</v>
      </c>
      <c r="S39" s="22">
        <f t="shared" ref="S39" si="35">D39-L39</f>
        <v>1.1992451365272494E-4</v>
      </c>
      <c r="T39" s="22">
        <f t="shared" ref="T39" si="36">E39-M39</f>
        <v>1.193278742812609E-4</v>
      </c>
      <c r="U39" s="22">
        <f t="shared" ref="U39" si="37">F39-N39</f>
        <v>-8.8955429774717487E-5</v>
      </c>
      <c r="V39" s="22">
        <f t="shared" ref="V39" si="38">G39-O39</f>
        <v>3.1396817248730002E-5</v>
      </c>
      <c r="W39" s="22">
        <f t="shared" ref="W39" si="39">H39-P39</f>
        <v>3.1553801334682774E-5</v>
      </c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41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A388-20CA-47E3-A186-1E1BC4109810}">
  <dimension ref="B1:W50"/>
  <sheetViews>
    <sheetView zoomScale="150" zoomScaleNormal="150" workbookViewId="0">
      <selection activeCell="Z89" sqref="Z89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35</v>
      </c>
    </row>
    <row r="2" spans="2:23" s="6" customFormat="1" ht="11.5" customHeight="1" x14ac:dyDescent="0.15">
      <c r="K2" s="28" t="s">
        <v>19</v>
      </c>
      <c r="L2" s="28"/>
      <c r="M2" s="28"/>
      <c r="N2" s="28"/>
      <c r="O2" s="28"/>
      <c r="P2" s="28"/>
      <c r="Q2" s="29"/>
      <c r="R2" s="28" t="s">
        <v>26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24</v>
      </c>
      <c r="D3" s="8" t="s">
        <v>25</v>
      </c>
      <c r="E3" s="8" t="s">
        <v>17</v>
      </c>
      <c r="F3" s="8" t="s">
        <v>20</v>
      </c>
      <c r="G3" s="8" t="s">
        <v>21</v>
      </c>
      <c r="H3" s="8" t="s">
        <v>18</v>
      </c>
      <c r="K3" s="8" t="s">
        <v>24</v>
      </c>
      <c r="L3" s="8" t="s">
        <v>25</v>
      </c>
      <c r="M3" s="8" t="s">
        <v>17</v>
      </c>
      <c r="N3" s="8" t="s">
        <v>20</v>
      </c>
      <c r="O3" s="8" t="s">
        <v>21</v>
      </c>
      <c r="P3" s="8" t="s">
        <v>18</v>
      </c>
      <c r="Q3" s="18"/>
      <c r="R3" s="8" t="s">
        <v>24</v>
      </c>
      <c r="S3" s="8" t="s">
        <v>25</v>
      </c>
      <c r="T3" s="8" t="s">
        <v>17</v>
      </c>
      <c r="U3" s="8" t="s">
        <v>20</v>
      </c>
      <c r="V3" s="8" t="s">
        <v>21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14698.330172041477</v>
      </c>
      <c r="D5" s="12">
        <v>8430.7749505138509</v>
      </c>
      <c r="E5" s="13">
        <f t="shared" ref="E5:E9" si="0">D5/C5</f>
        <v>0.57358726139861138</v>
      </c>
      <c r="F5" s="14">
        <v>0</v>
      </c>
      <c r="G5" s="14">
        <f t="shared" ref="G5:G9" si="1">(H5/365)/C5</f>
        <v>0</v>
      </c>
      <c r="H5" s="15">
        <f t="shared" ref="H5:H9" si="2">D5*F5*365</f>
        <v>0</v>
      </c>
      <c r="J5" s="5"/>
      <c r="K5" s="12">
        <v>14698.330172041477</v>
      </c>
      <c r="L5" s="12">
        <v>8430.7749505138509</v>
      </c>
      <c r="M5" s="23">
        <v>0.57358726139861138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14871.356347165916</v>
      </c>
      <c r="D6" s="12">
        <v>8977.5514168873451</v>
      </c>
      <c r="E6" s="13">
        <f t="shared" si="0"/>
        <v>0.60368074083560153</v>
      </c>
      <c r="F6" s="14">
        <v>93.815199072455073</v>
      </c>
      <c r="G6" s="14">
        <f t="shared" si="1"/>
        <v>56.634428877699115</v>
      </c>
      <c r="H6" s="15">
        <f t="shared" si="2"/>
        <v>307414232.27584791</v>
      </c>
      <c r="J6" s="5"/>
      <c r="K6" s="12">
        <v>14871.356347165916</v>
      </c>
      <c r="L6" s="12">
        <v>8977.5514168873451</v>
      </c>
      <c r="M6" s="23">
        <v>0.60368074083560153</v>
      </c>
      <c r="N6" s="14">
        <v>93.815199072455073</v>
      </c>
      <c r="O6" s="14">
        <v>56.634428877699115</v>
      </c>
      <c r="P6" s="15">
        <v>307414232.27584791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14990.030974996502</v>
      </c>
      <c r="D7" s="12">
        <v>9578.0864476766219</v>
      </c>
      <c r="E7" s="13">
        <f t="shared" si="0"/>
        <v>0.63896375288703211</v>
      </c>
      <c r="F7" s="14">
        <v>99.0666748601042</v>
      </c>
      <c r="G7" s="14">
        <f t="shared" si="1"/>
        <v>63.300014354651587</v>
      </c>
      <c r="H7" s="15">
        <f t="shared" si="2"/>
        <v>346337249.20129192</v>
      </c>
      <c r="J7" s="5"/>
      <c r="K7" s="12">
        <v>14990.030974996502</v>
      </c>
      <c r="L7" s="12">
        <v>9578.0864476766219</v>
      </c>
      <c r="M7" s="23">
        <v>0.63896375288703211</v>
      </c>
      <c r="N7" s="14">
        <v>99.0666748601042</v>
      </c>
      <c r="O7" s="14">
        <v>63.300014354651587</v>
      </c>
      <c r="P7" s="15">
        <v>346337249.20129192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15231.713123341238</v>
      </c>
      <c r="D8" s="12">
        <v>9910.7698152621069</v>
      </c>
      <c r="E8" s="13">
        <f t="shared" si="0"/>
        <v>0.65066678547633217</v>
      </c>
      <c r="F8" s="14">
        <v>105.46838684895039</v>
      </c>
      <c r="G8" s="14">
        <f t="shared" si="1"/>
        <v>68.624776240380825</v>
      </c>
      <c r="H8" s="15">
        <f t="shared" si="2"/>
        <v>381524610.26914203</v>
      </c>
      <c r="J8" s="5"/>
      <c r="K8" s="12">
        <v>15231.713123341238</v>
      </c>
      <c r="L8" s="12">
        <v>9910.7698152621069</v>
      </c>
      <c r="M8" s="23">
        <v>0.65066678547633217</v>
      </c>
      <c r="N8" s="14">
        <v>105.46838684895039</v>
      </c>
      <c r="O8" s="14">
        <v>68.624776240380825</v>
      </c>
      <c r="P8" s="15">
        <v>381524610.26914203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15079.575080318478</v>
      </c>
      <c r="D9" s="12">
        <v>10042.28629200962</v>
      </c>
      <c r="E9" s="13">
        <f t="shared" si="0"/>
        <v>0.66595286926331132</v>
      </c>
      <c r="F9" s="14">
        <v>109.1747272731667</v>
      </c>
      <c r="G9" s="14">
        <f t="shared" si="1"/>
        <v>72.705222878604857</v>
      </c>
      <c r="H9" s="15">
        <f t="shared" si="2"/>
        <v>400172811.50216186</v>
      </c>
      <c r="J9" s="5"/>
      <c r="K9" s="12">
        <v>15079.575080318478</v>
      </c>
      <c r="L9" s="12">
        <v>10042.28629200962</v>
      </c>
      <c r="M9" s="23">
        <v>0.66595286926331132</v>
      </c>
      <c r="N9" s="14">
        <v>109.1747272731667</v>
      </c>
      <c r="O9" s="14">
        <v>72.705222878604857</v>
      </c>
      <c r="P9" s="15">
        <v>400172811.50216186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14382.898111933699</v>
      </c>
      <c r="D10" s="12">
        <v>9436.6527583172738</v>
      </c>
      <c r="E10" s="13">
        <f>D10/C10</f>
        <v>0.65610231574174516</v>
      </c>
      <c r="F10" s="14">
        <v>110.13539773041641</v>
      </c>
      <c r="G10" s="14">
        <f>(H10/365)/C10</f>
        <v>72.260089496064353</v>
      </c>
      <c r="H10" s="15">
        <f>D10*F10*365</f>
        <v>379347969.245103</v>
      </c>
      <c r="J10" s="5"/>
      <c r="K10" s="12">
        <v>14382.898111933699</v>
      </c>
      <c r="L10" s="12">
        <v>9436.6527583172738</v>
      </c>
      <c r="M10" s="23">
        <v>0.65610231574174516</v>
      </c>
      <c r="N10" s="14">
        <v>110.13539773041641</v>
      </c>
      <c r="O10" s="14">
        <v>72.260089496064353</v>
      </c>
      <c r="P10" s="15">
        <v>379347969.245103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8374.9166666666661</v>
      </c>
      <c r="D11" s="12">
        <v>5500.7114684166672</v>
      </c>
      <c r="E11" s="13">
        <f t="shared" ref="E11:E15" si="3">D11/C11</f>
        <v>0.65680790476522166</v>
      </c>
      <c r="F11" s="14">
        <v>134.23242666481724</v>
      </c>
      <c r="G11" s="14">
        <f t="shared" ref="G11:G15" si="4">(H11/365)/C11</f>
        <v>88.164918909269886</v>
      </c>
      <c r="H11" s="15">
        <f t="shared" ref="H11:H15" si="5">D11*F11*365</f>
        <v>269506454.80782419</v>
      </c>
      <c r="J11" s="11">
        <v>2019</v>
      </c>
      <c r="K11" s="12">
        <v>8374.9166666666661</v>
      </c>
      <c r="L11" s="12">
        <v>5500.7114684166672</v>
      </c>
      <c r="M11" s="23">
        <v>0.65680790476522166</v>
      </c>
      <c r="N11" s="14">
        <v>134.23242666481724</v>
      </c>
      <c r="O11" s="14">
        <v>88.164918909269886</v>
      </c>
      <c r="P11" s="15">
        <v>269506454.80782419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8110.833333333333</v>
      </c>
      <c r="D12" s="12">
        <v>4604.5584790000003</v>
      </c>
      <c r="E12" s="13">
        <f t="shared" si="3"/>
        <v>0.56770473387444775</v>
      </c>
      <c r="F12" s="14">
        <v>119.15368925201368</v>
      </c>
      <c r="G12" s="14">
        <f t="shared" si="4"/>
        <v>67.64411344697308</v>
      </c>
      <c r="H12" s="15">
        <f t="shared" si="5"/>
        <v>200257297.50456414</v>
      </c>
      <c r="J12" s="11">
        <v>2020</v>
      </c>
      <c r="K12" s="12">
        <v>8110.833333333333</v>
      </c>
      <c r="L12" s="12">
        <v>4604.5584790000003</v>
      </c>
      <c r="M12" s="23">
        <v>0.56770473387444775</v>
      </c>
      <c r="N12" s="14">
        <v>119.15368925201368</v>
      </c>
      <c r="O12" s="14">
        <v>67.64411344697308</v>
      </c>
      <c r="P12" s="15">
        <v>200257297.50456414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8310</v>
      </c>
      <c r="D13" s="12">
        <v>5625.4588345304628</v>
      </c>
      <c r="E13" s="13">
        <f t="shared" si="3"/>
        <v>0.67695052160414715</v>
      </c>
      <c r="F13" s="14">
        <v>152.93501665010041</v>
      </c>
      <c r="G13" s="14">
        <f t="shared" si="4"/>
        <v>103.52943929282441</v>
      </c>
      <c r="H13" s="15">
        <f t="shared" si="5"/>
        <v>314020318.79103035</v>
      </c>
      <c r="J13" s="11">
        <v>2021</v>
      </c>
      <c r="K13" s="12">
        <v>8310</v>
      </c>
      <c r="L13" s="12">
        <v>5625.4588345304628</v>
      </c>
      <c r="M13" s="23">
        <v>0.67695052160414715</v>
      </c>
      <c r="N13" s="14">
        <v>152.93501665010041</v>
      </c>
      <c r="O13" s="14">
        <v>103.52943929282441</v>
      </c>
      <c r="P13" s="15">
        <v>314020318.79103035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8547.8333333333339</v>
      </c>
      <c r="D14" s="12">
        <v>5108.5746223758279</v>
      </c>
      <c r="E14" s="13">
        <f t="shared" si="3"/>
        <v>0.59764555802162278</v>
      </c>
      <c r="F14" s="14">
        <v>175.4746696425612</v>
      </c>
      <c r="G14" s="14">
        <f t="shared" si="4"/>
        <v>104.87165685718838</v>
      </c>
      <c r="H14" s="15">
        <f t="shared" si="5"/>
        <v>327195287.13510609</v>
      </c>
      <c r="J14" s="11">
        <v>2022</v>
      </c>
      <c r="K14" s="12">
        <v>8547.8333333333339</v>
      </c>
      <c r="L14" s="12">
        <v>5108.5746223758279</v>
      </c>
      <c r="M14" s="23">
        <v>0.59764555802162278</v>
      </c>
      <c r="N14" s="14">
        <v>175.4746696425612</v>
      </c>
      <c r="O14" s="14">
        <v>104.87165685718838</v>
      </c>
      <c r="P14" s="15">
        <v>327195287.13510609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8587.2768817204305</v>
      </c>
      <c r="D15" s="12">
        <v>4668.8343001903431</v>
      </c>
      <c r="E15" s="13">
        <f t="shared" si="3"/>
        <v>0.54369206495819411</v>
      </c>
      <c r="F15" s="14">
        <v>175.06057982830063</v>
      </c>
      <c r="G15" s="14">
        <f t="shared" si="4"/>
        <v>95.179048139627554</v>
      </c>
      <c r="H15" s="15">
        <f t="shared" si="5"/>
        <v>298325026.49545658</v>
      </c>
      <c r="J15" s="11">
        <v>2023</v>
      </c>
      <c r="K15" s="12">
        <v>8587.2768817204305</v>
      </c>
      <c r="L15" s="12">
        <v>4668.8343001903431</v>
      </c>
      <c r="M15" s="23">
        <v>0.54369206495819411</v>
      </c>
      <c r="N15" s="14">
        <v>175.06057982830063</v>
      </c>
      <c r="O15" s="14">
        <v>95.179048139627554</v>
      </c>
      <c r="P15" s="15">
        <v>298325026.49545658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8679.75</v>
      </c>
      <c r="D16" s="12">
        <v>4781.5461853558618</v>
      </c>
      <c r="E16" s="13">
        <f t="shared" ref="E16:E18" si="6">D16/C16</f>
        <v>0.55088524270351813</v>
      </c>
      <c r="F16" s="14">
        <v>167.46624506038538</v>
      </c>
      <c r="G16" s="14">
        <f t="shared" ref="G16:G18" si="7">(H16/365)/C16</f>
        <v>92.254683054737242</v>
      </c>
      <c r="H16" s="15">
        <f t="shared" ref="H16:H18" si="8">D16*F16*365</f>
        <v>292272868.6141898</v>
      </c>
      <c r="J16" s="11">
        <v>2024</v>
      </c>
      <c r="K16" s="12">
        <v>8679.75</v>
      </c>
      <c r="L16" s="12">
        <v>4781.5461853558618</v>
      </c>
      <c r="M16" s="23">
        <v>0.55088524270351813</v>
      </c>
      <c r="N16" s="14">
        <v>167.46624506038538</v>
      </c>
      <c r="O16" s="14">
        <v>92.254683054737242</v>
      </c>
      <c r="P16" s="15">
        <v>292272868.6141898</v>
      </c>
      <c r="Q16" s="12"/>
      <c r="R16" s="25"/>
      <c r="S16" s="25"/>
      <c r="T16" s="24"/>
      <c r="U16" s="26"/>
      <c r="V16" s="26"/>
      <c r="W16" s="27"/>
    </row>
    <row r="17" spans="2:23" s="6" customFormat="1" ht="10.25" customHeight="1" outlineLevel="1" x14ac:dyDescent="0.15">
      <c r="B17" s="11">
        <v>2025</v>
      </c>
      <c r="C17" s="12">
        <v>8685.5833333333339</v>
      </c>
      <c r="D17" s="12">
        <v>4735.5693836415794</v>
      </c>
      <c r="E17" s="13">
        <f t="shared" si="6"/>
        <v>0.54522180052864377</v>
      </c>
      <c r="F17" s="14">
        <v>170.77500175987367</v>
      </c>
      <c r="G17" s="14">
        <f t="shared" si="7"/>
        <v>93.110253944800604</v>
      </c>
      <c r="H17" s="15">
        <f t="shared" si="8"/>
        <v>295181657.486269</v>
      </c>
      <c r="J17" s="11">
        <v>2025</v>
      </c>
      <c r="K17" s="12">
        <v>8685.5833333333339</v>
      </c>
      <c r="L17" s="12">
        <v>4735.5693836415794</v>
      </c>
      <c r="M17" s="23">
        <v>0.54522180052864377</v>
      </c>
      <c r="N17" s="14">
        <v>170.77500175987367</v>
      </c>
      <c r="O17" s="14">
        <v>93.110253944800604</v>
      </c>
      <c r="P17" s="15">
        <v>295181657.486269</v>
      </c>
      <c r="Q17" s="12"/>
      <c r="R17" s="25">
        <f t="shared" ref="R17:W20" si="9">C17-K17</f>
        <v>0</v>
      </c>
      <c r="S17" s="25">
        <f t="shared" si="9"/>
        <v>0</v>
      </c>
      <c r="T17" s="24">
        <f t="shared" si="9"/>
        <v>0</v>
      </c>
      <c r="U17" s="26">
        <f t="shared" si="9"/>
        <v>0</v>
      </c>
      <c r="V17" s="26">
        <f t="shared" si="9"/>
        <v>0</v>
      </c>
      <c r="W17" s="27">
        <f t="shared" si="9"/>
        <v>0</v>
      </c>
    </row>
    <row r="18" spans="2:23" s="6" customFormat="1" outlineLevel="1" x14ac:dyDescent="0.15">
      <c r="B18" s="11">
        <v>2026</v>
      </c>
      <c r="C18" s="12">
        <v>8517.0833333333339</v>
      </c>
      <c r="D18" s="12">
        <v>4870.7897620897693</v>
      </c>
      <c r="E18" s="13">
        <f t="shared" si="6"/>
        <v>0.57188471351770687</v>
      </c>
      <c r="F18" s="14">
        <v>171.7833735113029</v>
      </c>
      <c r="G18" s="14">
        <f t="shared" si="7"/>
        <v>98.240285347616677</v>
      </c>
      <c r="H18" s="15">
        <f t="shared" si="8"/>
        <v>305403054.40357542</v>
      </c>
      <c r="J18" s="11">
        <v>2026</v>
      </c>
      <c r="K18" s="12">
        <v>8610.625</v>
      </c>
      <c r="L18" s="12">
        <v>4795.2453327335752</v>
      </c>
      <c r="M18" s="23">
        <v>0.5568986377566757</v>
      </c>
      <c r="N18" s="14">
        <v>173.03018493688819</v>
      </c>
      <c r="O18" s="14">
        <v>96.36027428213869</v>
      </c>
      <c r="P18" s="15">
        <v>302848598.16033375</v>
      </c>
      <c r="Q18" s="12"/>
      <c r="R18" s="25">
        <f t="shared" si="9"/>
        <v>-93.54166666666606</v>
      </c>
      <c r="S18" s="25">
        <f t="shared" si="9"/>
        <v>75.544429356194087</v>
      </c>
      <c r="T18" s="24">
        <f t="shared" si="9"/>
        <v>1.498607576103117E-2</v>
      </c>
      <c r="U18" s="26">
        <f t="shared" si="9"/>
        <v>-1.2468114255852925</v>
      </c>
      <c r="V18" s="26">
        <f t="shared" si="9"/>
        <v>1.8800110654779871</v>
      </c>
      <c r="W18" s="27">
        <f t="shared" si="9"/>
        <v>2554456.2432416677</v>
      </c>
    </row>
    <row r="19" spans="2:23" s="6" customFormat="1" outlineLevel="1" x14ac:dyDescent="0.15">
      <c r="B19" s="11">
        <v>2027</v>
      </c>
      <c r="C19" s="12">
        <v>8560.5</v>
      </c>
      <c r="D19" s="12">
        <v>4940.2591993409505</v>
      </c>
      <c r="E19" s="13">
        <f t="shared" ref="E19" si="10">D19/C19</f>
        <v>0.57709937495951757</v>
      </c>
      <c r="F19" s="14">
        <v>173.6575084005313</v>
      </c>
      <c r="G19" s="14">
        <f t="shared" ref="G19" si="11">(H19/365)/C19</f>
        <v>100.2176395549738</v>
      </c>
      <c r="H19" s="15">
        <f t="shared" ref="H19" si="12">D19*F19*365</f>
        <v>313138282.74477893</v>
      </c>
      <c r="J19" s="11">
        <v>2027</v>
      </c>
      <c r="K19" s="12">
        <v>8691.85</v>
      </c>
      <c r="L19" s="12">
        <v>4893.7834808544658</v>
      </c>
      <c r="M19" s="23">
        <v>0.56303128572794814</v>
      </c>
      <c r="N19" s="14">
        <v>175.01667870908031</v>
      </c>
      <c r="O19" s="14">
        <v>98.53986563740871</v>
      </c>
      <c r="P19" s="15">
        <v>312620211.86628646</v>
      </c>
      <c r="Q19" s="12"/>
      <c r="R19" s="25">
        <f t="shared" si="9"/>
        <v>-131.35000000000036</v>
      </c>
      <c r="S19" s="25">
        <f t="shared" si="9"/>
        <v>46.475718486484766</v>
      </c>
      <c r="T19" s="24">
        <f t="shared" si="9"/>
        <v>1.4068089231569436E-2</v>
      </c>
      <c r="U19" s="26">
        <f t="shared" si="9"/>
        <v>-1.359170308549011</v>
      </c>
      <c r="V19" s="26">
        <f t="shared" si="9"/>
        <v>1.6777739175650908</v>
      </c>
      <c r="W19" s="27">
        <f t="shared" si="9"/>
        <v>518070.87849247456</v>
      </c>
    </row>
    <row r="20" spans="2:23" s="6" customFormat="1" outlineLevel="1" x14ac:dyDescent="0.15">
      <c r="B20" s="11">
        <v>2028</v>
      </c>
      <c r="C20" s="12">
        <v>8605.5</v>
      </c>
      <c r="D20" s="12">
        <v>5016.9844436979438</v>
      </c>
      <c r="E20" s="13">
        <f t="shared" ref="E20" si="13">D20/C20</f>
        <v>0.58299743695287243</v>
      </c>
      <c r="F20" s="14">
        <v>176.54407436541482</v>
      </c>
      <c r="G20" s="14">
        <f t="shared" ref="G20" si="14">(H20/365)/C20</f>
        <v>102.92474286425413</v>
      </c>
      <c r="H20" s="15">
        <f t="shared" ref="H20" si="15">D20*F20*365</f>
        <v>323287389.27219373</v>
      </c>
      <c r="J20" s="11">
        <v>2028</v>
      </c>
      <c r="K20" s="12">
        <v>8756.0664520464834</v>
      </c>
      <c r="L20" s="12">
        <v>4965.0372667054344</v>
      </c>
      <c r="M20" s="23">
        <v>0.56703969686582234</v>
      </c>
      <c r="N20" s="14">
        <v>177.5517577794964</v>
      </c>
      <c r="O20" s="14">
        <v>100.67889490927956</v>
      </c>
      <c r="P20" s="15">
        <v>321766149.36265349</v>
      </c>
      <c r="Q20" s="12"/>
      <c r="R20" s="25">
        <f t="shared" si="9"/>
        <v>-150.56645204648339</v>
      </c>
      <c r="S20" s="25">
        <f t="shared" si="9"/>
        <v>51.947176992509412</v>
      </c>
      <c r="T20" s="24">
        <f t="shared" si="9"/>
        <v>1.5957740087050087E-2</v>
      </c>
      <c r="U20" s="26">
        <f t="shared" si="9"/>
        <v>-1.0076834140815834</v>
      </c>
      <c r="V20" s="26">
        <f t="shared" si="9"/>
        <v>2.2458479549745647</v>
      </c>
      <c r="W20" s="27">
        <f t="shared" si="9"/>
        <v>1521239.909540236</v>
      </c>
    </row>
    <row r="21" spans="2:23" s="6" customFormat="1" outlineLevel="1" x14ac:dyDescent="0.15">
      <c r="B21" s="11">
        <v>2029</v>
      </c>
      <c r="C21" s="12">
        <v>8651.4803200521965</v>
      </c>
      <c r="D21" s="12">
        <v>5093.6287435979475</v>
      </c>
      <c r="E21" s="13">
        <f t="shared" ref="E21" si="16">D21/C21</f>
        <v>0.58875805702199369</v>
      </c>
      <c r="F21" s="14">
        <v>179.15322216166641</v>
      </c>
      <c r="G21" s="14">
        <f t="shared" ref="G21" si="17">(H21/365)/C21</f>
        <v>105.4779029891323</v>
      </c>
      <c r="H21" s="15">
        <f t="shared" ref="H21" si="18">D21*F21*365</f>
        <v>333077100.69746131</v>
      </c>
      <c r="J21" s="11">
        <v>2029</v>
      </c>
      <c r="K21" s="12">
        <v>8802.851268485203</v>
      </c>
      <c r="L21" s="12">
        <v>5045.7147718718834</v>
      </c>
      <c r="M21" s="23">
        <v>0.57319096028986427</v>
      </c>
      <c r="N21" s="14">
        <v>180.33162736841223</v>
      </c>
      <c r="O21" s="14">
        <v>103.36445866193418</v>
      </c>
      <c r="P21" s="15">
        <v>332114213.95770019</v>
      </c>
      <c r="Q21" s="12"/>
      <c r="R21" s="25">
        <f t="shared" ref="R21" si="19">C21-K21</f>
        <v>-151.37094843300656</v>
      </c>
      <c r="S21" s="25">
        <f t="shared" ref="S21" si="20">D21-L21</f>
        <v>47.913971726064119</v>
      </c>
      <c r="T21" s="24">
        <f t="shared" ref="T21" si="21">E21-M21</f>
        <v>1.5567096732129415E-2</v>
      </c>
      <c r="U21" s="26">
        <f t="shared" ref="U21" si="22">F21-N21</f>
        <v>-1.1784052067458219</v>
      </c>
      <c r="V21" s="26">
        <f t="shared" ref="V21" si="23">G21-O21</f>
        <v>2.113444327198124</v>
      </c>
      <c r="W21" s="27">
        <f t="shared" ref="W21" si="24">H21-P21</f>
        <v>962886.73976111412</v>
      </c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f t="shared" ref="C24:H33" si="25">C6/C5-1</f>
        <v>1.177182530935128E-2</v>
      </c>
      <c r="D24" s="13">
        <f t="shared" si="25"/>
        <v>6.4854828836365508E-2</v>
      </c>
      <c r="E24" s="13">
        <f t="shared" si="25"/>
        <v>5.2465390119737831E-2</v>
      </c>
      <c r="F24" s="13" t="e">
        <f t="shared" si="25"/>
        <v>#DIV/0!</v>
      </c>
      <c r="G24" s="13" t="e">
        <f t="shared" si="25"/>
        <v>#DIV/0!</v>
      </c>
      <c r="H24" s="13" t="e">
        <f t="shared" si="25"/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f t="shared" si="25"/>
        <v>7.9800809731254141E-3</v>
      </c>
      <c r="D25" s="13">
        <f t="shared" si="25"/>
        <v>6.689296478543505E-2</v>
      </c>
      <c r="E25" s="13">
        <f t="shared" si="25"/>
        <v>5.8446476199642605E-2</v>
      </c>
      <c r="F25" s="13">
        <f t="shared" si="25"/>
        <v>5.5976812281699928E-2</v>
      </c>
      <c r="G25" s="13">
        <f t="shared" si="25"/>
        <v>0.11769493590809699</v>
      </c>
      <c r="H25" s="13">
        <f t="shared" si="25"/>
        <v>0.12661423199989552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f t="shared" si="25"/>
        <v>1.6122858501617765E-2</v>
      </c>
      <c r="D26" s="13">
        <f t="shared" si="25"/>
        <v>3.4733802978588191E-2</v>
      </c>
      <c r="E26" s="13">
        <f t="shared" si="25"/>
        <v>1.8315643941338111E-2</v>
      </c>
      <c r="F26" s="13">
        <f t="shared" si="25"/>
        <v>6.4620236804013853E-2</v>
      </c>
      <c r="G26" s="13">
        <f t="shared" si="25"/>
        <v>8.4119441994059407E-2</v>
      </c>
      <c r="H26" s="13">
        <f t="shared" si="25"/>
        <v>0.10159854635618237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f t="shared" si="25"/>
        <v>-9.9882424117889723E-3</v>
      </c>
      <c r="D27" s="13">
        <f t="shared" si="25"/>
        <v>1.3270056635255933E-2</v>
      </c>
      <c r="E27" s="13">
        <f t="shared" si="25"/>
        <v>2.3492952350085972E-2</v>
      </c>
      <c r="F27" s="13">
        <f t="shared" si="25"/>
        <v>3.514171909659014E-2</v>
      </c>
      <c r="G27" s="13">
        <f t="shared" si="25"/>
        <v>5.9460254178912431E-2</v>
      </c>
      <c r="H27" s="13">
        <f t="shared" si="25"/>
        <v>4.8878108334517778E-2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f t="shared" si="25"/>
        <v>-4.6200039767305245E-2</v>
      </c>
      <c r="D28" s="13">
        <f t="shared" si="25"/>
        <v>-6.0308331796339321E-2</v>
      </c>
      <c r="E28" s="13">
        <f t="shared" si="25"/>
        <v>-1.479166766330331E-2</v>
      </c>
      <c r="F28" s="13">
        <f t="shared" si="25"/>
        <v>8.7993849972807237E-3</v>
      </c>
      <c r="G28" s="13">
        <f t="shared" si="25"/>
        <v>-6.1224402445438919E-3</v>
      </c>
      <c r="H28" s="13">
        <f t="shared" si="25"/>
        <v>-5.2039623029078164E-2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f>B11</f>
        <v>2019</v>
      </c>
      <c r="C29" s="13">
        <f t="shared" si="25"/>
        <v>-0.41771702743844952</v>
      </c>
      <c r="D29" s="13">
        <f t="shared" si="25"/>
        <v>-0.41709082560355393</v>
      </c>
      <c r="E29" s="13">
        <f t="shared" si="25"/>
        <v>1.0754252904576767E-3</v>
      </c>
      <c r="F29" s="13">
        <f t="shared" si="25"/>
        <v>0.21879458767093451</v>
      </c>
      <c r="G29" s="13">
        <f t="shared" si="25"/>
        <v>0.22010531019438861</v>
      </c>
      <c r="H29" s="13">
        <f t="shared" si="25"/>
        <v>-0.28955345314187875</v>
      </c>
      <c r="J29" s="11">
        <f>J11</f>
        <v>2019</v>
      </c>
      <c r="K29" s="13">
        <f t="shared" ref="K29:P39" si="26">K11/K10-1</f>
        <v>-0.41771702743844952</v>
      </c>
      <c r="L29" s="13">
        <f t="shared" si="26"/>
        <v>-0.41709082560355393</v>
      </c>
      <c r="M29" s="13">
        <f t="shared" si="26"/>
        <v>1.0754252904576767E-3</v>
      </c>
      <c r="N29" s="13">
        <f t="shared" si="26"/>
        <v>0.21879458767093451</v>
      </c>
      <c r="O29" s="13">
        <f t="shared" si="26"/>
        <v>0.22010531019438861</v>
      </c>
      <c r="P29" s="13">
        <f t="shared" si="26"/>
        <v>-0.28955345314187875</v>
      </c>
      <c r="Q29" s="13"/>
      <c r="R29" s="22">
        <f t="shared" ref="R29:R38" si="27">C29-K29</f>
        <v>0</v>
      </c>
      <c r="S29" s="22">
        <f t="shared" ref="S29:S38" si="28">D29-L29</f>
        <v>0</v>
      </c>
      <c r="T29" s="22">
        <f t="shared" ref="T29:T38" si="29">E29-M29</f>
        <v>0</v>
      </c>
      <c r="U29" s="22">
        <f t="shared" ref="U29:U38" si="30">F29-N29</f>
        <v>0</v>
      </c>
      <c r="V29" s="22">
        <f t="shared" ref="V29:V38" si="31">G29-O29</f>
        <v>0</v>
      </c>
      <c r="W29" s="22">
        <f t="shared" ref="W29:W38" si="32">H29-P29</f>
        <v>0</v>
      </c>
    </row>
    <row r="30" spans="2:23" s="6" customFormat="1" x14ac:dyDescent="0.15">
      <c r="B30" s="11">
        <f>B12</f>
        <v>2020</v>
      </c>
      <c r="C30" s="13">
        <f t="shared" si="25"/>
        <v>-3.1532652066189715E-2</v>
      </c>
      <c r="D30" s="13">
        <f t="shared" si="25"/>
        <v>-0.16291583271765697</v>
      </c>
      <c r="E30" s="13">
        <f t="shared" si="25"/>
        <v>-0.13566092954168107</v>
      </c>
      <c r="F30" s="13">
        <f t="shared" si="25"/>
        <v>-0.11233304639910635</v>
      </c>
      <c r="G30" s="13">
        <f t="shared" si="25"/>
        <v>-0.23275477044803583</v>
      </c>
      <c r="H30" s="13">
        <f t="shared" si="25"/>
        <v>-0.25694804732094179</v>
      </c>
      <c r="J30" s="11">
        <f>J12</f>
        <v>2020</v>
      </c>
      <c r="K30" s="13">
        <f t="shared" si="26"/>
        <v>-3.1532652066189715E-2</v>
      </c>
      <c r="L30" s="13">
        <f t="shared" si="26"/>
        <v>-0.16291583271765697</v>
      </c>
      <c r="M30" s="13">
        <f t="shared" si="26"/>
        <v>-0.13566092954168107</v>
      </c>
      <c r="N30" s="13">
        <f t="shared" si="26"/>
        <v>-0.11233304639910635</v>
      </c>
      <c r="O30" s="13">
        <f t="shared" si="26"/>
        <v>-0.23275477044803583</v>
      </c>
      <c r="P30" s="13">
        <f t="shared" si="26"/>
        <v>-0.25694804732094179</v>
      </c>
      <c r="Q30" s="13"/>
      <c r="R30" s="22">
        <f t="shared" si="27"/>
        <v>0</v>
      </c>
      <c r="S30" s="22">
        <f t="shared" si="28"/>
        <v>0</v>
      </c>
      <c r="T30" s="22">
        <f t="shared" si="29"/>
        <v>0</v>
      </c>
      <c r="U30" s="22">
        <f t="shared" si="30"/>
        <v>0</v>
      </c>
      <c r="V30" s="22">
        <f t="shared" si="31"/>
        <v>0</v>
      </c>
      <c r="W30" s="22">
        <f t="shared" si="32"/>
        <v>0</v>
      </c>
    </row>
    <row r="31" spans="2:23" s="6" customFormat="1" x14ac:dyDescent="0.15">
      <c r="B31" s="11">
        <f>B13</f>
        <v>2021</v>
      </c>
      <c r="C31" s="13">
        <f t="shared" si="25"/>
        <v>2.455563546696804E-2</v>
      </c>
      <c r="D31" s="13">
        <f t="shared" si="25"/>
        <v>0.22171514602029285</v>
      </c>
      <c r="E31" s="13">
        <f t="shared" si="25"/>
        <v>0.19243416728996299</v>
      </c>
      <c r="F31" s="13">
        <f t="shared" si="25"/>
        <v>0.2835105451635509</v>
      </c>
      <c r="G31" s="13">
        <f t="shared" si="25"/>
        <v>0.53050182812998514</v>
      </c>
      <c r="H31" s="13">
        <f t="shared" si="25"/>
        <v>0.5680842731030733</v>
      </c>
      <c r="J31" s="11">
        <f>J13</f>
        <v>2021</v>
      </c>
      <c r="K31" s="13">
        <f t="shared" si="26"/>
        <v>2.455563546696804E-2</v>
      </c>
      <c r="L31" s="13">
        <f t="shared" si="26"/>
        <v>0.22171514602029285</v>
      </c>
      <c r="M31" s="13">
        <f t="shared" si="26"/>
        <v>0.19243416728996299</v>
      </c>
      <c r="N31" s="13">
        <f t="shared" si="26"/>
        <v>0.2835105451635509</v>
      </c>
      <c r="O31" s="13">
        <f t="shared" si="26"/>
        <v>0.53050182812998514</v>
      </c>
      <c r="P31" s="13">
        <f t="shared" si="26"/>
        <v>0.5680842731030733</v>
      </c>
      <c r="Q31" s="13"/>
      <c r="R31" s="22">
        <f t="shared" si="27"/>
        <v>0</v>
      </c>
      <c r="S31" s="22">
        <f t="shared" si="28"/>
        <v>0</v>
      </c>
      <c r="T31" s="22">
        <f t="shared" si="29"/>
        <v>0</v>
      </c>
      <c r="U31" s="22">
        <f t="shared" si="30"/>
        <v>0</v>
      </c>
      <c r="V31" s="22">
        <f t="shared" si="31"/>
        <v>0</v>
      </c>
      <c r="W31" s="22">
        <f t="shared" si="32"/>
        <v>0</v>
      </c>
    </row>
    <row r="32" spans="2:23" s="6" customFormat="1" outlineLevel="1" x14ac:dyDescent="0.15">
      <c r="B32" s="11">
        <f>B14</f>
        <v>2022</v>
      </c>
      <c r="C32" s="13">
        <f t="shared" si="25"/>
        <v>2.8620136381869221E-2</v>
      </c>
      <c r="D32" s="13">
        <f t="shared" si="25"/>
        <v>-9.1883031652790992E-2</v>
      </c>
      <c r="E32" s="13">
        <f t="shared" si="25"/>
        <v>-0.11715031018012667</v>
      </c>
      <c r="F32" s="13">
        <f t="shared" si="25"/>
        <v>0.14738059004517723</v>
      </c>
      <c r="G32" s="13">
        <f t="shared" si="25"/>
        <v>1.2964598026727669E-2</v>
      </c>
      <c r="H32" s="13">
        <f t="shared" si="25"/>
        <v>4.1955782972258104E-2</v>
      </c>
      <c r="J32" s="11">
        <f>J14</f>
        <v>2022</v>
      </c>
      <c r="K32" s="13">
        <f t="shared" si="26"/>
        <v>2.8620136381869221E-2</v>
      </c>
      <c r="L32" s="13">
        <f t="shared" si="26"/>
        <v>-9.1883031652790992E-2</v>
      </c>
      <c r="M32" s="13">
        <f t="shared" si="26"/>
        <v>-0.11715031018012667</v>
      </c>
      <c r="N32" s="13">
        <f t="shared" si="26"/>
        <v>0.14738059004517723</v>
      </c>
      <c r="O32" s="13">
        <f t="shared" si="26"/>
        <v>1.2964598026727669E-2</v>
      </c>
      <c r="P32" s="13">
        <f t="shared" si="26"/>
        <v>4.1955782972258104E-2</v>
      </c>
      <c r="Q32" s="13"/>
      <c r="R32" s="22">
        <f t="shared" si="27"/>
        <v>0</v>
      </c>
      <c r="S32" s="22">
        <f t="shared" si="28"/>
        <v>0</v>
      </c>
      <c r="T32" s="22">
        <f t="shared" si="29"/>
        <v>0</v>
      </c>
      <c r="U32" s="22">
        <f t="shared" si="30"/>
        <v>0</v>
      </c>
      <c r="V32" s="22">
        <f t="shared" si="31"/>
        <v>0</v>
      </c>
      <c r="W32" s="22">
        <f t="shared" si="32"/>
        <v>0</v>
      </c>
    </row>
    <row r="33" spans="2:23" s="6" customFormat="1" outlineLevel="1" x14ac:dyDescent="0.15">
      <c r="B33" s="11">
        <v>2023</v>
      </c>
      <c r="C33" s="13">
        <f t="shared" si="25"/>
        <v>4.6144498668780898E-3</v>
      </c>
      <c r="D33" s="13">
        <f t="shared" si="25"/>
        <v>-8.6078868312777224E-2</v>
      </c>
      <c r="E33" s="13">
        <f t="shared" si="25"/>
        <v>-9.0276740685616641E-2</v>
      </c>
      <c r="F33" s="13">
        <f t="shared" si="25"/>
        <v>-2.3598267208826407E-3</v>
      </c>
      <c r="G33" s="13">
        <f t="shared" si="25"/>
        <v>-9.2423529941555005E-2</v>
      </c>
      <c r="H33" s="13">
        <f t="shared" si="25"/>
        <v>-8.8235563820111995E-2</v>
      </c>
      <c r="J33" s="11">
        <v>2023</v>
      </c>
      <c r="K33" s="13">
        <f t="shared" si="26"/>
        <v>4.6144498668780898E-3</v>
      </c>
      <c r="L33" s="13">
        <f t="shared" si="26"/>
        <v>-8.6078868312777224E-2</v>
      </c>
      <c r="M33" s="13">
        <f t="shared" si="26"/>
        <v>-9.0276740685616641E-2</v>
      </c>
      <c r="N33" s="13">
        <f t="shared" si="26"/>
        <v>-2.3598267208826407E-3</v>
      </c>
      <c r="O33" s="13">
        <f t="shared" si="26"/>
        <v>-9.2423529941555005E-2</v>
      </c>
      <c r="P33" s="13">
        <f t="shared" si="26"/>
        <v>-8.8235563820111995E-2</v>
      </c>
      <c r="Q33" s="13"/>
      <c r="R33" s="22">
        <f t="shared" si="27"/>
        <v>0</v>
      </c>
      <c r="S33" s="22">
        <f t="shared" si="28"/>
        <v>0</v>
      </c>
      <c r="T33" s="22">
        <f t="shared" si="29"/>
        <v>0</v>
      </c>
      <c r="U33" s="22">
        <f t="shared" si="30"/>
        <v>0</v>
      </c>
      <c r="V33" s="22">
        <f t="shared" si="31"/>
        <v>0</v>
      </c>
      <c r="W33" s="22">
        <f t="shared" si="32"/>
        <v>0</v>
      </c>
    </row>
    <row r="34" spans="2:23" s="6" customFormat="1" outlineLevel="1" x14ac:dyDescent="0.15">
      <c r="B34" s="11">
        <v>2024</v>
      </c>
      <c r="C34" s="13">
        <f t="shared" ref="C34:H39" si="33">C16/C15-1</f>
        <v>1.0768619616355446E-2</v>
      </c>
      <c r="D34" s="13">
        <f t="shared" si="33"/>
        <v>2.4141333343298044E-2</v>
      </c>
      <c r="E34" s="13">
        <f t="shared" si="33"/>
        <v>1.3230242280392934E-2</v>
      </c>
      <c r="F34" s="13">
        <f t="shared" si="33"/>
        <v>-4.3381181390829249E-2</v>
      </c>
      <c r="G34" s="13">
        <f t="shared" si="33"/>
        <v>-3.0724882650646768E-2</v>
      </c>
      <c r="H34" s="13">
        <f t="shared" si="33"/>
        <v>-2.0287127608313305E-2</v>
      </c>
      <c r="J34" s="11">
        <v>2024</v>
      </c>
      <c r="K34" s="13">
        <f t="shared" si="26"/>
        <v>1.0768619616355446E-2</v>
      </c>
      <c r="L34" s="13">
        <f t="shared" si="26"/>
        <v>2.4141333343298044E-2</v>
      </c>
      <c r="M34" s="13">
        <f t="shared" si="26"/>
        <v>1.3230242280392934E-2</v>
      </c>
      <c r="N34" s="13">
        <f t="shared" si="26"/>
        <v>-4.3381181390829249E-2</v>
      </c>
      <c r="O34" s="13">
        <f t="shared" si="26"/>
        <v>-3.0724882650646768E-2</v>
      </c>
      <c r="P34" s="13">
        <f t="shared" si="26"/>
        <v>-2.0287127608313305E-2</v>
      </c>
      <c r="Q34" s="13"/>
      <c r="R34" s="22">
        <f t="shared" si="27"/>
        <v>0</v>
      </c>
      <c r="S34" s="22">
        <f t="shared" si="28"/>
        <v>0</v>
      </c>
      <c r="T34" s="22">
        <f t="shared" si="29"/>
        <v>0</v>
      </c>
      <c r="U34" s="22">
        <f t="shared" si="30"/>
        <v>0</v>
      </c>
      <c r="V34" s="22">
        <f t="shared" si="31"/>
        <v>0</v>
      </c>
      <c r="W34" s="22">
        <f t="shared" si="32"/>
        <v>0</v>
      </c>
    </row>
    <row r="35" spans="2:23" s="6" customFormat="1" outlineLevel="1" x14ac:dyDescent="0.15">
      <c r="B35" s="11">
        <v>2025</v>
      </c>
      <c r="C35" s="13">
        <f t="shared" si="33"/>
        <v>6.7206236738770464E-4</v>
      </c>
      <c r="D35" s="13">
        <f t="shared" si="33"/>
        <v>-9.615467451740356E-3</v>
      </c>
      <c r="E35" s="13">
        <f t="shared" si="33"/>
        <v>-1.0280620600908619E-2</v>
      </c>
      <c r="F35" s="13">
        <f t="shared" si="33"/>
        <v>1.9757752962665576E-2</v>
      </c>
      <c r="G35" s="13">
        <f t="shared" si="33"/>
        <v>9.2740103996209466E-3</v>
      </c>
      <c r="H35" s="13">
        <f t="shared" si="33"/>
        <v>9.9523054803929423E-3</v>
      </c>
      <c r="J35" s="11">
        <v>2025</v>
      </c>
      <c r="K35" s="13">
        <f t="shared" si="26"/>
        <v>6.7206236738770464E-4</v>
      </c>
      <c r="L35" s="13">
        <f t="shared" si="26"/>
        <v>-9.615467451740356E-3</v>
      </c>
      <c r="M35" s="13">
        <f t="shared" si="26"/>
        <v>-1.0280620600908619E-2</v>
      </c>
      <c r="N35" s="13">
        <f t="shared" si="26"/>
        <v>1.9757752962665576E-2</v>
      </c>
      <c r="O35" s="13">
        <f t="shared" si="26"/>
        <v>9.2740103996209466E-3</v>
      </c>
      <c r="P35" s="13">
        <f t="shared" si="26"/>
        <v>9.9523054803929423E-3</v>
      </c>
      <c r="Q35" s="13"/>
      <c r="R35" s="22">
        <f t="shared" si="27"/>
        <v>0</v>
      </c>
      <c r="S35" s="22">
        <f t="shared" si="28"/>
        <v>0</v>
      </c>
      <c r="T35" s="22">
        <f t="shared" si="29"/>
        <v>0</v>
      </c>
      <c r="U35" s="22">
        <f t="shared" si="30"/>
        <v>0</v>
      </c>
      <c r="V35" s="22">
        <f t="shared" si="31"/>
        <v>0</v>
      </c>
      <c r="W35" s="22">
        <f t="shared" si="32"/>
        <v>0</v>
      </c>
    </row>
    <row r="36" spans="2:23" s="6" customFormat="1" outlineLevel="1" x14ac:dyDescent="0.15">
      <c r="B36" s="11">
        <v>2026</v>
      </c>
      <c r="C36" s="13">
        <f t="shared" si="33"/>
        <v>-1.9399963541116949E-2</v>
      </c>
      <c r="D36" s="13">
        <f t="shared" si="33"/>
        <v>2.8554196442626578E-2</v>
      </c>
      <c r="E36" s="13">
        <f t="shared" si="33"/>
        <v>4.890287395553683E-2</v>
      </c>
      <c r="F36" s="13">
        <f t="shared" si="33"/>
        <v>5.9046800822002421E-3</v>
      </c>
      <c r="G36" s="13">
        <f t="shared" si="33"/>
        <v>5.5096309863544635E-2</v>
      </c>
      <c r="H36" s="13">
        <f t="shared" si="33"/>
        <v>3.4627479919824955E-2</v>
      </c>
      <c r="J36" s="11">
        <v>2026</v>
      </c>
      <c r="K36" s="13">
        <f t="shared" si="26"/>
        <v>-8.6302013873564842E-3</v>
      </c>
      <c r="L36" s="13">
        <f t="shared" si="26"/>
        <v>1.2601641800062957E-2</v>
      </c>
      <c r="M36" s="13">
        <f t="shared" si="26"/>
        <v>2.141667339183817E-2</v>
      </c>
      <c r="N36" s="13">
        <f t="shared" si="26"/>
        <v>1.3205581342552231E-2</v>
      </c>
      <c r="O36" s="13">
        <f t="shared" si="26"/>
        <v>3.4905074356953447E-2</v>
      </c>
      <c r="P36" s="13">
        <f t="shared" si="26"/>
        <v>2.5973635148455632E-2</v>
      </c>
      <c r="Q36" s="13"/>
      <c r="R36" s="22">
        <f t="shared" si="27"/>
        <v>-1.0769762153760465E-2</v>
      </c>
      <c r="S36" s="22">
        <f t="shared" si="28"/>
        <v>1.5952554642563621E-2</v>
      </c>
      <c r="T36" s="22">
        <f t="shared" si="29"/>
        <v>2.7486200563698659E-2</v>
      </c>
      <c r="U36" s="22">
        <f t="shared" si="30"/>
        <v>-7.3009012603519885E-3</v>
      </c>
      <c r="V36" s="22">
        <f t="shared" si="31"/>
        <v>2.0191235506591187E-2</v>
      </c>
      <c r="W36" s="22">
        <f t="shared" si="32"/>
        <v>8.6538447713693234E-3</v>
      </c>
    </row>
    <row r="37" spans="2:23" s="6" customFormat="1" outlineLevel="1" x14ac:dyDescent="0.15">
      <c r="B37" s="11">
        <v>2027</v>
      </c>
      <c r="C37" s="13">
        <f t="shared" si="33"/>
        <v>5.0975979648744119E-3</v>
      </c>
      <c r="D37" s="13">
        <f t="shared" si="33"/>
        <v>1.4262458583590432E-2</v>
      </c>
      <c r="E37" s="13">
        <f t="shared" si="33"/>
        <v>9.1183787895552371E-3</v>
      </c>
      <c r="F37" s="13">
        <f t="shared" si="33"/>
        <v>1.0909873586252949E-2</v>
      </c>
      <c r="G37" s="13">
        <f t="shared" si="33"/>
        <v>2.012773273571411E-2</v>
      </c>
      <c r="H37" s="13">
        <f t="shared" si="33"/>
        <v>2.532793379001963E-2</v>
      </c>
      <c r="J37" s="11">
        <v>2027</v>
      </c>
      <c r="K37" s="13">
        <f t="shared" si="26"/>
        <v>9.4331131596139262E-3</v>
      </c>
      <c r="L37" s="13">
        <f t="shared" si="26"/>
        <v>2.0549135921835715E-2</v>
      </c>
      <c r="M37" s="13">
        <f t="shared" si="26"/>
        <v>1.1012143962097376E-2</v>
      </c>
      <c r="N37" s="13">
        <f t="shared" si="26"/>
        <v>1.1480619828942995E-2</v>
      </c>
      <c r="O37" s="13">
        <f t="shared" si="26"/>
        <v>2.2619190029371072E-2</v>
      </c>
      <c r="P37" s="13">
        <f t="shared" si="26"/>
        <v>3.2265672568110748E-2</v>
      </c>
      <c r="Q37" s="13"/>
      <c r="R37" s="22">
        <f t="shared" si="27"/>
        <v>-4.3355151947395143E-3</v>
      </c>
      <c r="S37" s="22">
        <f t="shared" si="28"/>
        <v>-6.2866773382452834E-3</v>
      </c>
      <c r="T37" s="22">
        <f t="shared" si="29"/>
        <v>-1.8937651725421389E-3</v>
      </c>
      <c r="U37" s="22">
        <f t="shared" si="30"/>
        <v>-5.7074624269004559E-4</v>
      </c>
      <c r="V37" s="22">
        <f t="shared" si="31"/>
        <v>-2.4914572936569623E-3</v>
      </c>
      <c r="W37" s="22">
        <f t="shared" si="32"/>
        <v>-6.9377387780911182E-3</v>
      </c>
    </row>
    <row r="38" spans="2:23" s="6" customFormat="1" outlineLevel="1" x14ac:dyDescent="0.15">
      <c r="B38" s="11">
        <v>2028</v>
      </c>
      <c r="C38" s="13">
        <f t="shared" si="33"/>
        <v>5.2567022954266296E-3</v>
      </c>
      <c r="D38" s="13">
        <f t="shared" si="33"/>
        <v>1.5530611099763503E-2</v>
      </c>
      <c r="E38" s="13">
        <f t="shared" si="33"/>
        <v>1.0220184337868421E-2</v>
      </c>
      <c r="F38" s="13">
        <f t="shared" si="33"/>
        <v>1.6622177707547259E-2</v>
      </c>
      <c r="G38" s="13">
        <f t="shared" si="33"/>
        <v>2.701224376568323E-2</v>
      </c>
      <c r="H38" s="13">
        <f t="shared" si="33"/>
        <v>3.2410941384917624E-2</v>
      </c>
      <c r="J38" s="11">
        <v>2028</v>
      </c>
      <c r="K38" s="13">
        <f t="shared" si="26"/>
        <v>7.3881224418832492E-3</v>
      </c>
      <c r="L38" s="13">
        <f t="shared" si="26"/>
        <v>1.4560060969131206E-2</v>
      </c>
      <c r="M38" s="13">
        <f t="shared" si="26"/>
        <v>7.1193399718307848E-3</v>
      </c>
      <c r="N38" s="13">
        <f t="shared" si="26"/>
        <v>1.4484785616518225E-2</v>
      </c>
      <c r="O38" s="13">
        <f t="shared" si="26"/>
        <v>2.1707247701572063E-2</v>
      </c>
      <c r="P38" s="13">
        <f t="shared" si="26"/>
        <v>2.9255745947350809E-2</v>
      </c>
      <c r="Q38" s="13"/>
      <c r="R38" s="22">
        <f t="shared" si="27"/>
        <v>-2.1314201464566196E-3</v>
      </c>
      <c r="S38" s="22">
        <f t="shared" si="28"/>
        <v>9.7055013063229723E-4</v>
      </c>
      <c r="T38" s="22">
        <f t="shared" si="29"/>
        <v>3.1008443660376361E-3</v>
      </c>
      <c r="U38" s="22">
        <f t="shared" si="30"/>
        <v>2.1373920910290334E-3</v>
      </c>
      <c r="V38" s="22">
        <f t="shared" si="31"/>
        <v>5.3049960641111671E-3</v>
      </c>
      <c r="W38" s="22">
        <f t="shared" si="32"/>
        <v>3.1551954375668156E-3</v>
      </c>
    </row>
    <row r="39" spans="2:23" s="6" customFormat="1" outlineLevel="1" x14ac:dyDescent="0.15">
      <c r="B39" s="11">
        <v>2029</v>
      </c>
      <c r="C39" s="13">
        <f t="shared" si="33"/>
        <v>5.3431317241527942E-3</v>
      </c>
      <c r="D39" s="13">
        <f t="shared" si="33"/>
        <v>1.5276965826808597E-2</v>
      </c>
      <c r="E39" s="13">
        <f t="shared" si="33"/>
        <v>9.8810384128444895E-3</v>
      </c>
      <c r="F39" s="13">
        <f t="shared" si="33"/>
        <v>1.4779016546605295E-2</v>
      </c>
      <c r="G39" s="13">
        <f t="shared" si="33"/>
        <v>2.4806086989651366E-2</v>
      </c>
      <c r="H39" s="13">
        <f t="shared" si="33"/>
        <v>3.0281760904150357E-2</v>
      </c>
      <c r="J39" s="11">
        <v>2029</v>
      </c>
      <c r="K39" s="13">
        <f t="shared" si="26"/>
        <v>5.3431317241527942E-3</v>
      </c>
      <c r="L39" s="13">
        <f t="shared" si="26"/>
        <v>1.6249123789554787E-2</v>
      </c>
      <c r="M39" s="13">
        <f t="shared" si="26"/>
        <v>1.0848029614225485E-2</v>
      </c>
      <c r="N39" s="13">
        <f t="shared" si="26"/>
        <v>1.5656671742828809E-2</v>
      </c>
      <c r="O39" s="13">
        <f t="shared" si="26"/>
        <v>2.6674545395780846E-2</v>
      </c>
      <c r="P39" s="13">
        <f t="shared" si="26"/>
        <v>3.2160202729665244E-2</v>
      </c>
      <c r="Q39" s="13"/>
      <c r="R39" s="22">
        <f t="shared" ref="R39" si="34">C39-K39</f>
        <v>0</v>
      </c>
      <c r="S39" s="22">
        <f t="shared" ref="S39" si="35">D39-L39</f>
        <v>-9.721579627461896E-4</v>
      </c>
      <c r="T39" s="22">
        <f t="shared" ref="T39" si="36">E39-M39</f>
        <v>-9.6699120138099559E-4</v>
      </c>
      <c r="U39" s="22">
        <f t="shared" ref="U39" si="37">F39-N39</f>
        <v>-8.7765519622351462E-4</v>
      </c>
      <c r="V39" s="22">
        <f t="shared" ref="V39" si="38">G39-O39</f>
        <v>-1.8684584061294807E-3</v>
      </c>
      <c r="W39" s="22">
        <f t="shared" ref="W39" si="39">H39-P39</f>
        <v>-1.8784418255148871E-3</v>
      </c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41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5E96-9EF2-4577-8C5B-CF38538CF988}">
  <dimension ref="B1:W50"/>
  <sheetViews>
    <sheetView zoomScale="150" zoomScaleNormal="150" workbookViewId="0">
      <selection activeCell="A2" sqref="A2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36</v>
      </c>
    </row>
    <row r="2" spans="2:23" s="6" customFormat="1" ht="11.5" customHeight="1" x14ac:dyDescent="0.15">
      <c r="K2" s="28" t="s">
        <v>19</v>
      </c>
      <c r="L2" s="28"/>
      <c r="M2" s="28"/>
      <c r="N2" s="28"/>
      <c r="O2" s="28"/>
      <c r="P2" s="28"/>
      <c r="Q2" s="29"/>
      <c r="R2" s="28" t="s">
        <v>26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24</v>
      </c>
      <c r="D3" s="8" t="s">
        <v>25</v>
      </c>
      <c r="E3" s="8" t="s">
        <v>17</v>
      </c>
      <c r="F3" s="8" t="s">
        <v>20</v>
      </c>
      <c r="G3" s="8" t="s">
        <v>21</v>
      </c>
      <c r="H3" s="8" t="s">
        <v>18</v>
      </c>
      <c r="K3" s="8" t="s">
        <v>24</v>
      </c>
      <c r="L3" s="8" t="s">
        <v>25</v>
      </c>
      <c r="M3" s="8" t="s">
        <v>17</v>
      </c>
      <c r="N3" s="8" t="s">
        <v>20</v>
      </c>
      <c r="O3" s="8" t="s">
        <v>21</v>
      </c>
      <c r="P3" s="8" t="s">
        <v>18</v>
      </c>
      <c r="Q3" s="18"/>
      <c r="R3" s="8" t="s">
        <v>24</v>
      </c>
      <c r="S3" s="8" t="s">
        <v>25</v>
      </c>
      <c r="T3" s="8" t="s">
        <v>17</v>
      </c>
      <c r="U3" s="8" t="s">
        <v>20</v>
      </c>
      <c r="V3" s="8" t="s">
        <v>21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53999.110539975758</v>
      </c>
      <c r="D5" s="12">
        <v>40563.345528530466</v>
      </c>
      <c r="E5" s="13">
        <f t="shared" ref="E5:E9" si="0">D5/C5</f>
        <v>0.7511854384805331</v>
      </c>
      <c r="F5" s="14">
        <v>0</v>
      </c>
      <c r="G5" s="14">
        <f t="shared" ref="G5:G9" si="1">(H5/365)/C5</f>
        <v>0</v>
      </c>
      <c r="H5" s="15">
        <f t="shared" ref="H5:H9" si="2">D5*F5*365</f>
        <v>0</v>
      </c>
      <c r="J5" s="5"/>
      <c r="K5" s="12">
        <v>53999.110539975758</v>
      </c>
      <c r="L5" s="12">
        <v>40563.345528530466</v>
      </c>
      <c r="M5" s="23">
        <v>0.7511854384805331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54512.330569966456</v>
      </c>
      <c r="D6" s="12">
        <v>41639.150848390265</v>
      </c>
      <c r="E6" s="13">
        <f t="shared" si="0"/>
        <v>0.76384829657845044</v>
      </c>
      <c r="F6" s="14">
        <v>135.46613209575435</v>
      </c>
      <c r="G6" s="14">
        <f t="shared" si="1"/>
        <v>103.4755742454133</v>
      </c>
      <c r="H6" s="15">
        <f t="shared" si="2"/>
        <v>2058853568.8518233</v>
      </c>
      <c r="J6" s="5"/>
      <c r="K6" s="12">
        <v>54512.330569966456</v>
      </c>
      <c r="L6" s="12">
        <v>41639.150848390265</v>
      </c>
      <c r="M6" s="23">
        <v>0.76384829657845044</v>
      </c>
      <c r="N6" s="14">
        <v>135.46613209575435</v>
      </c>
      <c r="O6" s="14">
        <v>103.4755742454133</v>
      </c>
      <c r="P6" s="15">
        <v>2058853568.8518233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55150.5</v>
      </c>
      <c r="D7" s="12">
        <v>43378.339330517112</v>
      </c>
      <c r="E7" s="13">
        <f t="shared" si="0"/>
        <v>0.78654480613080768</v>
      </c>
      <c r="F7" s="14">
        <v>143.8733630991342</v>
      </c>
      <c r="G7" s="14">
        <f t="shared" si="1"/>
        <v>113.16284648619582</v>
      </c>
      <c r="H7" s="15">
        <f t="shared" si="2"/>
        <v>2277960461.2749839</v>
      </c>
      <c r="J7" s="5"/>
      <c r="K7" s="12">
        <v>55150.5</v>
      </c>
      <c r="L7" s="12">
        <v>43378.339330517112</v>
      </c>
      <c r="M7" s="23">
        <v>0.78654480613080768</v>
      </c>
      <c r="N7" s="14">
        <v>143.8733630991342</v>
      </c>
      <c r="O7" s="14">
        <v>113.16284648619582</v>
      </c>
      <c r="P7" s="15">
        <v>2277960461.2749839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56473</v>
      </c>
      <c r="D8" s="12">
        <v>44153.652170117864</v>
      </c>
      <c r="E8" s="13">
        <f t="shared" si="0"/>
        <v>0.78185419882276241</v>
      </c>
      <c r="F8" s="14">
        <v>150.62042106311034</v>
      </c>
      <c r="G8" s="14">
        <f t="shared" si="1"/>
        <v>117.76320863664526</v>
      </c>
      <c r="H8" s="15">
        <f t="shared" si="2"/>
        <v>2427411213.6881027</v>
      </c>
      <c r="J8" s="5"/>
      <c r="K8" s="12">
        <v>56473</v>
      </c>
      <c r="L8" s="12">
        <v>44153.652170117864</v>
      </c>
      <c r="M8" s="23">
        <v>0.78185419882276241</v>
      </c>
      <c r="N8" s="14">
        <v>150.62042106311034</v>
      </c>
      <c r="O8" s="14">
        <v>117.76320863664526</v>
      </c>
      <c r="P8" s="15">
        <v>2427411213.6881027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57189.916666666664</v>
      </c>
      <c r="D9" s="12">
        <v>44504.720381179555</v>
      </c>
      <c r="E9" s="13">
        <f t="shared" si="0"/>
        <v>0.77819173335357006</v>
      </c>
      <c r="F9" s="14">
        <v>156.2456445033352</v>
      </c>
      <c r="G9" s="14">
        <f t="shared" si="1"/>
        <v>121.58906892499611</v>
      </c>
      <c r="H9" s="15">
        <f t="shared" si="2"/>
        <v>2538089082.5803127</v>
      </c>
      <c r="J9" s="5"/>
      <c r="K9" s="12">
        <v>57189.916666666664</v>
      </c>
      <c r="L9" s="12">
        <v>44504.720381179555</v>
      </c>
      <c r="M9" s="23">
        <v>0.77819173335357006</v>
      </c>
      <c r="N9" s="14">
        <v>156.2456445033352</v>
      </c>
      <c r="O9" s="14">
        <v>121.58906892499611</v>
      </c>
      <c r="P9" s="15">
        <v>2538089082.5803127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57870.416666666664</v>
      </c>
      <c r="D10" s="12">
        <v>44882.726740911392</v>
      </c>
      <c r="E10" s="13">
        <f>D10/C10</f>
        <v>0.77557289762463077</v>
      </c>
      <c r="F10" s="14">
        <v>161.79445813720412</v>
      </c>
      <c r="G10" s="14">
        <f>(H10/365)/C10</f>
        <v>125.48339671707842</v>
      </c>
      <c r="H10" s="15">
        <f>D10*F10*365</f>
        <v>2650548405.2595754</v>
      </c>
      <c r="J10" s="5"/>
      <c r="K10" s="12">
        <v>57870.416666666664</v>
      </c>
      <c r="L10" s="12">
        <v>44882.726740911392</v>
      </c>
      <c r="M10" s="23">
        <v>0.77557289762463077</v>
      </c>
      <c r="N10" s="14">
        <v>161.79445813720412</v>
      </c>
      <c r="O10" s="14">
        <v>125.48339671707842</v>
      </c>
      <c r="P10" s="15">
        <v>2650548405.2595754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58282.416666666664</v>
      </c>
      <c r="D11" s="12">
        <v>45141.360639583327</v>
      </c>
      <c r="E11" s="13">
        <f t="shared" ref="E11:E15" si="3">D11/C11</f>
        <v>0.77452794893113841</v>
      </c>
      <c r="F11" s="14">
        <v>161.93676764135546</v>
      </c>
      <c r="G11" s="14">
        <f t="shared" ref="G11:G15" si="4">(H11/365)/C11</f>
        <v>125.42455249779738</v>
      </c>
      <c r="H11" s="15">
        <f t="shared" ref="H11:H15" si="5">D11*F11*365</f>
        <v>2668166800.5509944</v>
      </c>
      <c r="J11" s="11">
        <v>2019</v>
      </c>
      <c r="K11" s="12">
        <v>58282.416666666664</v>
      </c>
      <c r="L11" s="12">
        <v>45141.360639583327</v>
      </c>
      <c r="M11" s="23">
        <v>0.77452794893113841</v>
      </c>
      <c r="N11" s="14">
        <v>161.93676764135546</v>
      </c>
      <c r="O11" s="14">
        <v>125.42455249779738</v>
      </c>
      <c r="P11" s="15">
        <v>2668166800.5509944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50463.166666666664</v>
      </c>
      <c r="D12" s="12">
        <v>22478.539628416667</v>
      </c>
      <c r="E12" s="13">
        <f t="shared" si="3"/>
        <v>0.44544449175966633</v>
      </c>
      <c r="F12" s="14">
        <v>136.02876564505425</v>
      </c>
      <c r="G12" s="14">
        <f t="shared" si="4"/>
        <v>60.593264377455945</v>
      </c>
      <c r="H12" s="15">
        <f t="shared" si="5"/>
        <v>1116070719.6922889</v>
      </c>
      <c r="J12" s="11">
        <v>2020</v>
      </c>
      <c r="K12" s="12">
        <v>50463.166666666664</v>
      </c>
      <c r="L12" s="12">
        <v>22478.539628416667</v>
      </c>
      <c r="M12" s="23">
        <v>0.44544449175966633</v>
      </c>
      <c r="N12" s="14">
        <v>136.02876564505425</v>
      </c>
      <c r="O12" s="14">
        <v>60.593264377455945</v>
      </c>
      <c r="P12" s="15">
        <v>1116070719.6922889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56854.083333333336</v>
      </c>
      <c r="D13" s="12">
        <v>32935.691948052525</v>
      </c>
      <c r="E13" s="13">
        <f t="shared" si="3"/>
        <v>0.5793021365756934</v>
      </c>
      <c r="F13" s="14">
        <v>168.05227367959077</v>
      </c>
      <c r="G13" s="14">
        <f t="shared" si="4"/>
        <v>97.353041198990098</v>
      </c>
      <c r="H13" s="15">
        <f t="shared" si="5"/>
        <v>2020245039.734498</v>
      </c>
      <c r="J13" s="11">
        <v>2021</v>
      </c>
      <c r="K13" s="12">
        <v>56854.083333333336</v>
      </c>
      <c r="L13" s="12">
        <v>32935.691948052525</v>
      </c>
      <c r="M13" s="23">
        <v>0.5793021365756934</v>
      </c>
      <c r="N13" s="14">
        <v>168.05227367959077</v>
      </c>
      <c r="O13" s="14">
        <v>97.353041198990098</v>
      </c>
      <c r="P13" s="15">
        <v>2020245039.734498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60044.083333333336</v>
      </c>
      <c r="D14" s="12">
        <v>42427.597989092079</v>
      </c>
      <c r="E14" s="13">
        <f t="shared" si="3"/>
        <v>0.70660747293877824</v>
      </c>
      <c r="F14" s="14">
        <v>201.9026079886587</v>
      </c>
      <c r="G14" s="14">
        <f t="shared" si="4"/>
        <v>142.66589161061489</v>
      </c>
      <c r="H14" s="15">
        <f t="shared" si="5"/>
        <v>3126678579.9126029</v>
      </c>
      <c r="J14" s="11">
        <v>2022</v>
      </c>
      <c r="K14" s="12">
        <v>60044.083333333336</v>
      </c>
      <c r="L14" s="12">
        <v>42427.597989092079</v>
      </c>
      <c r="M14" s="23">
        <v>0.70660747293877824</v>
      </c>
      <c r="N14" s="14">
        <v>201.9026079886587</v>
      </c>
      <c r="O14" s="14">
        <v>142.66589161061489</v>
      </c>
      <c r="P14" s="15">
        <v>3126678579.9126029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60202.87634408602</v>
      </c>
      <c r="D15" s="12">
        <v>43160.16872931338</v>
      </c>
      <c r="E15" s="13">
        <f t="shared" si="3"/>
        <v>0.71691207049035266</v>
      </c>
      <c r="F15" s="14">
        <v>210.27619300372254</v>
      </c>
      <c r="G15" s="14">
        <f t="shared" si="4"/>
        <v>150.74954090112772</v>
      </c>
      <c r="H15" s="15">
        <f t="shared" si="5"/>
        <v>3312577928.9763904</v>
      </c>
      <c r="J15" s="11">
        <v>2023</v>
      </c>
      <c r="K15" s="12">
        <v>60202.87634408602</v>
      </c>
      <c r="L15" s="12">
        <v>43160.16872931338</v>
      </c>
      <c r="M15" s="23">
        <v>0.71691207049035266</v>
      </c>
      <c r="N15" s="14">
        <v>210.27619300372254</v>
      </c>
      <c r="O15" s="14">
        <v>150.74954090112772</v>
      </c>
      <c r="P15" s="15">
        <v>3312577928.9763904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60992.833333333336</v>
      </c>
      <c r="D16" s="12">
        <v>43783.753373015876</v>
      </c>
      <c r="E16" s="13">
        <f t="shared" ref="E16:E18" si="6">D16/C16</f>
        <v>0.71785078639866229</v>
      </c>
      <c r="F16" s="14">
        <v>208.3660818337066</v>
      </c>
      <c r="G16" s="14">
        <f t="shared" ref="G16:G18" si="7">(H16/365)/C16</f>
        <v>149.57575570313429</v>
      </c>
      <c r="H16" s="15">
        <f t="shared" ref="H16:H18" si="8">D16*F16*365</f>
        <v>3329912935.4826584</v>
      </c>
      <c r="J16" s="11">
        <v>2024</v>
      </c>
      <c r="K16" s="12">
        <v>60992.833333333336</v>
      </c>
      <c r="L16" s="12">
        <v>43783.753373015876</v>
      </c>
      <c r="M16" s="23">
        <v>0.71785078639866229</v>
      </c>
      <c r="N16" s="14">
        <v>208.3660818337066</v>
      </c>
      <c r="O16" s="14">
        <v>149.57575570313429</v>
      </c>
      <c r="P16" s="15">
        <v>3329912935.4826584</v>
      </c>
      <c r="Q16" s="12"/>
      <c r="R16" s="25"/>
      <c r="S16" s="25"/>
      <c r="T16" s="24"/>
      <c r="U16" s="26"/>
      <c r="V16" s="26"/>
      <c r="W16" s="27"/>
    </row>
    <row r="17" spans="2:23" s="6" customFormat="1" ht="10.25" customHeight="1" outlineLevel="1" x14ac:dyDescent="0.15">
      <c r="B17" s="11">
        <v>2025</v>
      </c>
      <c r="C17" s="12">
        <v>60662.916666666664</v>
      </c>
      <c r="D17" s="12">
        <v>44152.016512716742</v>
      </c>
      <c r="E17" s="13">
        <f t="shared" si="6"/>
        <v>0.727825481180294</v>
      </c>
      <c r="F17" s="14">
        <v>210.32953809087758</v>
      </c>
      <c r="G17" s="14">
        <f t="shared" si="7"/>
        <v>153.08319726742195</v>
      </c>
      <c r="H17" s="15">
        <f t="shared" si="8"/>
        <v>3389562732.1986871</v>
      </c>
      <c r="J17" s="11">
        <v>2025</v>
      </c>
      <c r="K17" s="12">
        <v>60662.916666666664</v>
      </c>
      <c r="L17" s="12">
        <v>44152.016512716742</v>
      </c>
      <c r="M17" s="23">
        <v>0.727825481180294</v>
      </c>
      <c r="N17" s="14">
        <v>210.32953809087758</v>
      </c>
      <c r="O17" s="14">
        <v>153.08319726742195</v>
      </c>
      <c r="P17" s="15">
        <v>3389562732.1986871</v>
      </c>
      <c r="Q17" s="12"/>
      <c r="R17" s="25">
        <f t="shared" ref="R17:W20" si="9">C17-K17</f>
        <v>0</v>
      </c>
      <c r="S17" s="25">
        <f t="shared" si="9"/>
        <v>0</v>
      </c>
      <c r="T17" s="24">
        <f t="shared" si="9"/>
        <v>0</v>
      </c>
      <c r="U17" s="26">
        <f t="shared" si="9"/>
        <v>0</v>
      </c>
      <c r="V17" s="26">
        <f t="shared" si="9"/>
        <v>0</v>
      </c>
      <c r="W17" s="27">
        <f t="shared" si="9"/>
        <v>0</v>
      </c>
    </row>
    <row r="18" spans="2:23" s="6" customFormat="1" outlineLevel="1" x14ac:dyDescent="0.15">
      <c r="B18" s="11">
        <v>2026</v>
      </c>
      <c r="C18" s="12">
        <v>60204.083333333336</v>
      </c>
      <c r="D18" s="12">
        <v>45177.35180342129</v>
      </c>
      <c r="E18" s="13">
        <f t="shared" si="6"/>
        <v>0.75040344943526183</v>
      </c>
      <c r="F18" s="14">
        <v>215.50502194606878</v>
      </c>
      <c r="G18" s="14">
        <f t="shared" si="7"/>
        <v>161.71571183895182</v>
      </c>
      <c r="H18" s="15">
        <f t="shared" si="8"/>
        <v>3553620360.0294752</v>
      </c>
      <c r="J18" s="11">
        <v>2026</v>
      </c>
      <c r="K18" s="12">
        <v>60408.458333333336</v>
      </c>
      <c r="L18" s="12">
        <v>44689.278260300329</v>
      </c>
      <c r="M18" s="23">
        <v>0.73978511442396511</v>
      </c>
      <c r="N18" s="14">
        <v>212.574328781123</v>
      </c>
      <c r="O18" s="14">
        <v>157.25932414094066</v>
      </c>
      <c r="P18" s="15">
        <v>3467424565.4121037</v>
      </c>
      <c r="Q18" s="12"/>
      <c r="R18" s="25">
        <f t="shared" si="9"/>
        <v>-204.375</v>
      </c>
      <c r="S18" s="25">
        <f t="shared" si="9"/>
        <v>488.0735431209614</v>
      </c>
      <c r="T18" s="24">
        <f t="shared" si="9"/>
        <v>1.061833501129672E-2</v>
      </c>
      <c r="U18" s="26">
        <f t="shared" si="9"/>
        <v>2.9306931649457795</v>
      </c>
      <c r="V18" s="26">
        <f t="shared" si="9"/>
        <v>4.4563876980111559</v>
      </c>
      <c r="W18" s="27">
        <f t="shared" si="9"/>
        <v>86195794.617371559</v>
      </c>
    </row>
    <row r="19" spans="2:23" s="6" customFormat="1" outlineLevel="1" x14ac:dyDescent="0.15">
      <c r="B19" s="11">
        <v>2027</v>
      </c>
      <c r="C19" s="12">
        <v>60342.416666666664</v>
      </c>
      <c r="D19" s="12">
        <v>45540.099752379465</v>
      </c>
      <c r="E19" s="13">
        <f t="shared" ref="E19" si="10">D19/C19</f>
        <v>0.7546946620309285</v>
      </c>
      <c r="F19" s="14">
        <v>218.55457192172744</v>
      </c>
      <c r="G19" s="14">
        <f t="shared" ref="G19" si="11">(H19/365)/C19</f>
        <v>164.94196879178233</v>
      </c>
      <c r="H19" s="15">
        <f t="shared" ref="H19" si="12">D19*F19*365</f>
        <v>3632843907.4287319</v>
      </c>
      <c r="J19" s="11">
        <v>2027</v>
      </c>
      <c r="K19" s="12">
        <v>60944.549999999988</v>
      </c>
      <c r="L19" s="12">
        <v>45405.4112083035</v>
      </c>
      <c r="M19" s="23">
        <v>0.74502824630428</v>
      </c>
      <c r="N19" s="14">
        <v>216.20419705432568</v>
      </c>
      <c r="O19" s="14">
        <v>161.07823377500924</v>
      </c>
      <c r="P19" s="15">
        <v>3583146772.3576493</v>
      </c>
      <c r="Q19" s="12"/>
      <c r="R19" s="25">
        <f t="shared" si="9"/>
        <v>-602.13333333332412</v>
      </c>
      <c r="S19" s="25">
        <f t="shared" si="9"/>
        <v>134.68854407596518</v>
      </c>
      <c r="T19" s="24">
        <f t="shared" si="9"/>
        <v>9.6664157266485029E-3</v>
      </c>
      <c r="U19" s="26">
        <f t="shared" si="9"/>
        <v>2.3503748674017686</v>
      </c>
      <c r="V19" s="26">
        <f t="shared" si="9"/>
        <v>3.8637350167730915</v>
      </c>
      <c r="W19" s="27">
        <f t="shared" si="9"/>
        <v>49697135.071082592</v>
      </c>
    </row>
    <row r="20" spans="2:23" s="6" customFormat="1" outlineLevel="1" x14ac:dyDescent="0.15">
      <c r="B20" s="11">
        <v>2028</v>
      </c>
      <c r="C20" s="12">
        <v>61056.758333333331</v>
      </c>
      <c r="D20" s="12">
        <v>46387.79583202098</v>
      </c>
      <c r="E20" s="13">
        <f t="shared" ref="E20" si="13">D20/C20</f>
        <v>0.75974875015098897</v>
      </c>
      <c r="F20" s="14">
        <v>223.36086400091816</v>
      </c>
      <c r="G20" s="14">
        <f t="shared" ref="G20" si="14">(H20/365)/C20</f>
        <v>169.69813725734258</v>
      </c>
      <c r="H20" s="15">
        <f t="shared" ref="H20" si="15">D20*F20*365</f>
        <v>3781844626.9905143</v>
      </c>
      <c r="J20" s="11">
        <v>2028</v>
      </c>
      <c r="K20" s="12">
        <v>61739.79774597747</v>
      </c>
      <c r="L20" s="12">
        <v>46293.194792284223</v>
      </c>
      <c r="M20" s="23">
        <v>0.74981124788832598</v>
      </c>
      <c r="N20" s="14">
        <v>221.49037601875631</v>
      </c>
      <c r="O20" s="14">
        <v>166.07597523787823</v>
      </c>
      <c r="P20" s="15">
        <v>3742526449.4031858</v>
      </c>
      <c r="Q20" s="12"/>
      <c r="R20" s="25">
        <f t="shared" si="9"/>
        <v>-683.03941264413879</v>
      </c>
      <c r="S20" s="25">
        <f t="shared" si="9"/>
        <v>94.60103973675723</v>
      </c>
      <c r="T20" s="24">
        <f t="shared" si="9"/>
        <v>9.9375022626629894E-3</v>
      </c>
      <c r="U20" s="26">
        <f t="shared" si="9"/>
        <v>1.8704879821618476</v>
      </c>
      <c r="V20" s="26">
        <f t="shared" si="9"/>
        <v>3.6221620194643549</v>
      </c>
      <c r="W20" s="27">
        <f t="shared" si="9"/>
        <v>39318177.587328434</v>
      </c>
    </row>
    <row r="21" spans="2:23" s="6" customFormat="1" outlineLevel="1" x14ac:dyDescent="0.15">
      <c r="B21" s="11">
        <v>2029</v>
      </c>
      <c r="C21" s="12">
        <v>61783.080861272218</v>
      </c>
      <c r="D21" s="12">
        <v>47167.381436945856</v>
      </c>
      <c r="E21" s="13">
        <f t="shared" ref="E21" si="16">D21/C21</f>
        <v>0.76343524439733812</v>
      </c>
      <c r="F21" s="14">
        <v>226.72309665721394</v>
      </c>
      <c r="G21" s="14">
        <f t="shared" ref="G21" si="17">(H21/365)/C21</f>
        <v>173.0884027070214</v>
      </c>
      <c r="H21" s="15">
        <f t="shared" ref="H21" si="18">D21*F21*365</f>
        <v>3903286194.9176688</v>
      </c>
      <c r="J21" s="11">
        <v>2029</v>
      </c>
      <c r="K21" s="12">
        <v>62474.258205000042</v>
      </c>
      <c r="L21" s="12">
        <v>47077.500473728214</v>
      </c>
      <c r="M21" s="23">
        <v>0.75355037140657766</v>
      </c>
      <c r="N21" s="14">
        <v>224.79935935249162</v>
      </c>
      <c r="O21" s="14">
        <v>169.39764073203077</v>
      </c>
      <c r="P21" s="15">
        <v>3862792060.4399137</v>
      </c>
      <c r="Q21" s="12"/>
      <c r="R21" s="25">
        <f t="shared" ref="R21" si="19">C21-K21</f>
        <v>-691.17734372782434</v>
      </c>
      <c r="S21" s="25">
        <f t="shared" ref="S21" si="20">D21-L21</f>
        <v>89.880963217641693</v>
      </c>
      <c r="T21" s="24">
        <f t="shared" ref="T21" si="21">E21-M21</f>
        <v>9.8848729907604627E-3</v>
      </c>
      <c r="U21" s="26">
        <f t="shared" ref="U21" si="22">F21-N21</f>
        <v>1.923737304722323</v>
      </c>
      <c r="V21" s="26">
        <f t="shared" ref="V21" si="23">G21-O21</f>
        <v>3.690761974990636</v>
      </c>
      <c r="W21" s="27">
        <f t="shared" ref="W21" si="24">H21-P21</f>
        <v>40494134.47775507</v>
      </c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f t="shared" ref="C24:H37" si="25">C6/C5-1</f>
        <v>9.5042311782294053E-3</v>
      </c>
      <c r="D24" s="13">
        <f t="shared" si="25"/>
        <v>2.6521612205362199E-2</v>
      </c>
      <c r="E24" s="13">
        <f t="shared" si="25"/>
        <v>1.6857166618579944E-2</v>
      </c>
      <c r="F24" s="13" t="e">
        <f t="shared" si="25"/>
        <v>#DIV/0!</v>
      </c>
      <c r="G24" s="13" t="e">
        <f t="shared" si="25"/>
        <v>#DIV/0!</v>
      </c>
      <c r="H24" s="13" t="e">
        <f t="shared" si="25"/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f t="shared" si="25"/>
        <v>1.1706882156037324E-2</v>
      </c>
      <c r="D25" s="13">
        <f t="shared" si="25"/>
        <v>4.1768106378040626E-2</v>
      </c>
      <c r="E25" s="13">
        <f t="shared" si="25"/>
        <v>2.9713373262757914E-2</v>
      </c>
      <c r="F25" s="13">
        <f t="shared" si="25"/>
        <v>6.2061497389156894E-2</v>
      </c>
      <c r="G25" s="13">
        <f t="shared" si="25"/>
        <v>9.3618927089084814E-2</v>
      </c>
      <c r="H25" s="13">
        <f t="shared" si="25"/>
        <v>0.10642179499212845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f t="shared" si="25"/>
        <v>2.3979836991504966E-2</v>
      </c>
      <c r="D26" s="13">
        <f t="shared" si="25"/>
        <v>1.7873271581314576E-2</v>
      </c>
      <c r="E26" s="13">
        <f t="shared" si="25"/>
        <v>-5.9635602085015282E-3</v>
      </c>
      <c r="F26" s="13">
        <f t="shared" si="25"/>
        <v>4.6895810444961716E-2</v>
      </c>
      <c r="G26" s="13">
        <f t="shared" si="25"/>
        <v>4.065258424734508E-2</v>
      </c>
      <c r="H26" s="13">
        <f t="shared" si="25"/>
        <v>6.5607263582384778E-2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f t="shared" si="25"/>
        <v>1.2694857129365689E-2</v>
      </c>
      <c r="D27" s="13">
        <f t="shared" si="25"/>
        <v>7.9510571335996705E-3</v>
      </c>
      <c r="E27" s="13">
        <f t="shared" si="25"/>
        <v>-4.6843330568626662E-3</v>
      </c>
      <c r="F27" s="13">
        <f t="shared" si="25"/>
        <v>3.7347017094500501E-2</v>
      </c>
      <c r="G27" s="13">
        <f t="shared" si="25"/>
        <v>3.2487738170886793E-2</v>
      </c>
      <c r="H27" s="13">
        <f t="shared" si="25"/>
        <v>4.5595022494788084E-2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f t="shared" si="25"/>
        <v>1.1898950718293833E-2</v>
      </c>
      <c r="D28" s="13">
        <f t="shared" si="25"/>
        <v>8.4936239682946724E-3</v>
      </c>
      <c r="E28" s="13">
        <f t="shared" si="25"/>
        <v>-3.3652834085676764E-3</v>
      </c>
      <c r="F28" s="13">
        <f t="shared" si="25"/>
        <v>3.5513397199052665E-2</v>
      </c>
      <c r="G28" s="13">
        <f t="shared" si="25"/>
        <v>3.2028601144109325E-2</v>
      </c>
      <c r="H28" s="13">
        <f t="shared" si="25"/>
        <v>4.430865860899269E-2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f>B11</f>
        <v>2019</v>
      </c>
      <c r="C29" s="13">
        <f t="shared" si="25"/>
        <v>7.1193543045164898E-3</v>
      </c>
      <c r="D29" s="13">
        <f t="shared" si="25"/>
        <v>5.7624372994296014E-3</v>
      </c>
      <c r="E29" s="13">
        <f t="shared" si="25"/>
        <v>-1.3473249216067185E-3</v>
      </c>
      <c r="F29" s="13">
        <f t="shared" si="25"/>
        <v>8.7956970708269466E-4</v>
      </c>
      <c r="G29" s="13">
        <f t="shared" si="25"/>
        <v>-4.6894028071076121E-4</v>
      </c>
      <c r="H29" s="13">
        <f t="shared" si="25"/>
        <v>6.6470754717997682E-3</v>
      </c>
      <c r="J29" s="11">
        <f>J11</f>
        <v>2019</v>
      </c>
      <c r="K29" s="13">
        <f t="shared" ref="K29:P39" si="26">K11/K10-1</f>
        <v>7.1193543045164898E-3</v>
      </c>
      <c r="L29" s="13">
        <f t="shared" si="26"/>
        <v>5.7624372994296014E-3</v>
      </c>
      <c r="M29" s="13">
        <f t="shared" si="26"/>
        <v>-1.3473249216067185E-3</v>
      </c>
      <c r="N29" s="13">
        <f t="shared" si="26"/>
        <v>8.7956970708269466E-4</v>
      </c>
      <c r="O29" s="13">
        <f t="shared" si="26"/>
        <v>-4.6894028071076121E-4</v>
      </c>
      <c r="P29" s="13">
        <f t="shared" si="26"/>
        <v>6.6470754717997682E-3</v>
      </c>
      <c r="Q29" s="13"/>
      <c r="R29" s="22">
        <f t="shared" ref="R29:R38" si="27">C29-K29</f>
        <v>0</v>
      </c>
      <c r="S29" s="22">
        <f t="shared" ref="S29:S38" si="28">D29-L29</f>
        <v>0</v>
      </c>
      <c r="T29" s="22">
        <f t="shared" ref="T29:T38" si="29">E29-M29</f>
        <v>0</v>
      </c>
      <c r="U29" s="22">
        <f t="shared" ref="U29:U38" si="30">F29-N29</f>
        <v>0</v>
      </c>
      <c r="V29" s="22">
        <f t="shared" ref="V29:V38" si="31">G29-O29</f>
        <v>0</v>
      </c>
      <c r="W29" s="22">
        <f t="shared" ref="W29:W38" si="32">H29-P29</f>
        <v>0</v>
      </c>
    </row>
    <row r="30" spans="2:23" s="6" customFormat="1" x14ac:dyDescent="0.15">
      <c r="B30" s="11">
        <f>B12</f>
        <v>2020</v>
      </c>
      <c r="C30" s="13">
        <f t="shared" si="25"/>
        <v>-0.13416138944135525</v>
      </c>
      <c r="D30" s="13">
        <f t="shared" si="25"/>
        <v>-0.50204115892984846</v>
      </c>
      <c r="E30" s="13">
        <f t="shared" si="25"/>
        <v>-0.42488261091883484</v>
      </c>
      <c r="F30" s="13">
        <f t="shared" si="25"/>
        <v>-0.15998838542757732</v>
      </c>
      <c r="G30" s="13">
        <f t="shared" si="25"/>
        <v>-0.5168947134292543</v>
      </c>
      <c r="H30" s="13">
        <f t="shared" si="25"/>
        <v>-0.58170878992204955</v>
      </c>
      <c r="J30" s="11">
        <f>J12</f>
        <v>2020</v>
      </c>
      <c r="K30" s="13">
        <f t="shared" si="26"/>
        <v>-0.13416138944135525</v>
      </c>
      <c r="L30" s="13">
        <f t="shared" si="26"/>
        <v>-0.50204115892984846</v>
      </c>
      <c r="M30" s="13">
        <f t="shared" si="26"/>
        <v>-0.42488261091883484</v>
      </c>
      <c r="N30" s="13">
        <f t="shared" si="26"/>
        <v>-0.15998838542757732</v>
      </c>
      <c r="O30" s="13">
        <f t="shared" si="26"/>
        <v>-0.5168947134292543</v>
      </c>
      <c r="P30" s="13">
        <f t="shared" si="26"/>
        <v>-0.58170878992204955</v>
      </c>
      <c r="Q30" s="13"/>
      <c r="R30" s="22">
        <f t="shared" si="27"/>
        <v>0</v>
      </c>
      <c r="S30" s="22">
        <f t="shared" si="28"/>
        <v>0</v>
      </c>
      <c r="T30" s="22">
        <f t="shared" si="29"/>
        <v>0</v>
      </c>
      <c r="U30" s="22">
        <f t="shared" si="30"/>
        <v>0</v>
      </c>
      <c r="V30" s="22">
        <f t="shared" si="31"/>
        <v>0</v>
      </c>
      <c r="W30" s="22">
        <f t="shared" si="32"/>
        <v>0</v>
      </c>
    </row>
    <row r="31" spans="2:23" s="6" customFormat="1" x14ac:dyDescent="0.15">
      <c r="B31" s="11">
        <f>B13</f>
        <v>2021</v>
      </c>
      <c r="C31" s="13">
        <f t="shared" si="25"/>
        <v>0.12664517684515775</v>
      </c>
      <c r="D31" s="13">
        <f t="shared" si="25"/>
        <v>0.46520603617933665</v>
      </c>
      <c r="E31" s="13">
        <f t="shared" si="25"/>
        <v>0.30050353588893008</v>
      </c>
      <c r="F31" s="13">
        <f t="shared" si="25"/>
        <v>0.23541717726158629</v>
      </c>
      <c r="G31" s="13">
        <f t="shared" si="25"/>
        <v>0.60666440732661409</v>
      </c>
      <c r="H31" s="13">
        <f t="shared" si="25"/>
        <v>0.81014070532331361</v>
      </c>
      <c r="J31" s="11">
        <f>J13</f>
        <v>2021</v>
      </c>
      <c r="K31" s="13">
        <f t="shared" si="26"/>
        <v>0.12664517684515775</v>
      </c>
      <c r="L31" s="13">
        <f t="shared" si="26"/>
        <v>0.46520603617933665</v>
      </c>
      <c r="M31" s="13">
        <f t="shared" si="26"/>
        <v>0.30050353588893008</v>
      </c>
      <c r="N31" s="13">
        <f t="shared" si="26"/>
        <v>0.23541717726158629</v>
      </c>
      <c r="O31" s="13">
        <f t="shared" si="26"/>
        <v>0.60666440732661409</v>
      </c>
      <c r="P31" s="13">
        <f t="shared" si="26"/>
        <v>0.81014070532331361</v>
      </c>
      <c r="Q31" s="13"/>
      <c r="R31" s="22">
        <f t="shared" si="27"/>
        <v>0</v>
      </c>
      <c r="S31" s="22">
        <f t="shared" si="28"/>
        <v>0</v>
      </c>
      <c r="T31" s="22">
        <f t="shared" si="29"/>
        <v>0</v>
      </c>
      <c r="U31" s="22">
        <f t="shared" si="30"/>
        <v>0</v>
      </c>
      <c r="V31" s="22">
        <f t="shared" si="31"/>
        <v>0</v>
      </c>
      <c r="W31" s="22">
        <f t="shared" si="32"/>
        <v>0</v>
      </c>
    </row>
    <row r="32" spans="2:23" s="6" customFormat="1" outlineLevel="1" x14ac:dyDescent="0.15">
      <c r="B32" s="11">
        <f>B14</f>
        <v>2022</v>
      </c>
      <c r="C32" s="13">
        <f t="shared" si="25"/>
        <v>5.6108546879511723E-2</v>
      </c>
      <c r="D32" s="13">
        <f t="shared" si="25"/>
        <v>0.28819513055959356</v>
      </c>
      <c r="E32" s="13">
        <f t="shared" si="25"/>
        <v>0.21975637292760219</v>
      </c>
      <c r="F32" s="13">
        <f t="shared" si="25"/>
        <v>0.20142741045924284</v>
      </c>
      <c r="G32" s="13">
        <f t="shared" si="25"/>
        <v>0.46544874051756735</v>
      </c>
      <c r="H32" s="13">
        <f t="shared" si="25"/>
        <v>0.5476729398744189</v>
      </c>
      <c r="J32" s="11">
        <f>J14</f>
        <v>2022</v>
      </c>
      <c r="K32" s="13">
        <f t="shared" si="26"/>
        <v>5.6108546879511723E-2</v>
      </c>
      <c r="L32" s="13">
        <f t="shared" si="26"/>
        <v>0.28819513055959356</v>
      </c>
      <c r="M32" s="13">
        <f t="shared" si="26"/>
        <v>0.21975637292760219</v>
      </c>
      <c r="N32" s="13">
        <f t="shared" si="26"/>
        <v>0.20142741045924284</v>
      </c>
      <c r="O32" s="13">
        <f t="shared" si="26"/>
        <v>0.46544874051756735</v>
      </c>
      <c r="P32" s="13">
        <f t="shared" si="26"/>
        <v>0.5476729398744189</v>
      </c>
      <c r="Q32" s="13"/>
      <c r="R32" s="22">
        <f t="shared" si="27"/>
        <v>0</v>
      </c>
      <c r="S32" s="22">
        <f t="shared" si="28"/>
        <v>0</v>
      </c>
      <c r="T32" s="22">
        <f t="shared" si="29"/>
        <v>0</v>
      </c>
      <c r="U32" s="22">
        <f t="shared" si="30"/>
        <v>0</v>
      </c>
      <c r="V32" s="22">
        <f t="shared" si="31"/>
        <v>0</v>
      </c>
      <c r="W32" s="22">
        <f t="shared" si="32"/>
        <v>0</v>
      </c>
    </row>
    <row r="33" spans="2:23" s="6" customFormat="1" outlineLevel="1" x14ac:dyDescent="0.15">
      <c r="B33" s="11">
        <v>2023</v>
      </c>
      <c r="C33" s="13">
        <f t="shared" si="25"/>
        <v>2.6446071275856298E-3</v>
      </c>
      <c r="D33" s="13">
        <f t="shared" si="25"/>
        <v>1.7266373184964268E-2</v>
      </c>
      <c r="E33" s="13">
        <f t="shared" si="25"/>
        <v>1.4583199224765586E-2</v>
      </c>
      <c r="F33" s="13">
        <f t="shared" si="25"/>
        <v>4.1473387087373359E-2</v>
      </c>
      <c r="G33" s="13">
        <f t="shared" si="25"/>
        <v>5.6661400978559984E-2</v>
      </c>
      <c r="H33" s="13">
        <f t="shared" si="25"/>
        <v>5.9455855251032474E-2</v>
      </c>
      <c r="J33" s="11">
        <v>2023</v>
      </c>
      <c r="K33" s="13">
        <f t="shared" si="26"/>
        <v>2.6446071275856298E-3</v>
      </c>
      <c r="L33" s="13">
        <f t="shared" si="26"/>
        <v>1.7266373184964268E-2</v>
      </c>
      <c r="M33" s="13">
        <f t="shared" si="26"/>
        <v>1.4583199224765586E-2</v>
      </c>
      <c r="N33" s="13">
        <f t="shared" si="26"/>
        <v>4.1473387087373359E-2</v>
      </c>
      <c r="O33" s="13">
        <f t="shared" si="26"/>
        <v>5.6661400978559984E-2</v>
      </c>
      <c r="P33" s="13">
        <f t="shared" si="26"/>
        <v>5.9455855251032474E-2</v>
      </c>
      <c r="Q33" s="13"/>
      <c r="R33" s="22">
        <f t="shared" si="27"/>
        <v>0</v>
      </c>
      <c r="S33" s="22">
        <f t="shared" si="28"/>
        <v>0</v>
      </c>
      <c r="T33" s="22">
        <f t="shared" si="29"/>
        <v>0</v>
      </c>
      <c r="U33" s="22">
        <f t="shared" si="30"/>
        <v>0</v>
      </c>
      <c r="V33" s="22">
        <f t="shared" si="31"/>
        <v>0</v>
      </c>
      <c r="W33" s="22">
        <f t="shared" si="32"/>
        <v>0</v>
      </c>
    </row>
    <row r="34" spans="2:23" s="6" customFormat="1" outlineLevel="1" x14ac:dyDescent="0.15">
      <c r="B34" s="11">
        <v>2024</v>
      </c>
      <c r="C34" s="13">
        <f t="shared" si="25"/>
        <v>1.3121582177110014E-2</v>
      </c>
      <c r="D34" s="13">
        <f t="shared" si="25"/>
        <v>1.4448151201942983E-2</v>
      </c>
      <c r="E34" s="13">
        <f t="shared" si="25"/>
        <v>1.309387785405125E-3</v>
      </c>
      <c r="F34" s="13">
        <f t="shared" si="25"/>
        <v>-9.0838203922691818E-3</v>
      </c>
      <c r="G34" s="13">
        <f t="shared" si="25"/>
        <v>-7.7863268503303162E-3</v>
      </c>
      <c r="H34" s="13">
        <f t="shared" si="25"/>
        <v>5.2330863991552068E-3</v>
      </c>
      <c r="J34" s="11">
        <v>2024</v>
      </c>
      <c r="K34" s="13">
        <f t="shared" si="26"/>
        <v>1.3121582177110014E-2</v>
      </c>
      <c r="L34" s="13">
        <f t="shared" si="26"/>
        <v>1.4448151201942983E-2</v>
      </c>
      <c r="M34" s="13">
        <f t="shared" si="26"/>
        <v>1.309387785405125E-3</v>
      </c>
      <c r="N34" s="13">
        <f t="shared" si="26"/>
        <v>-9.0838203922691818E-3</v>
      </c>
      <c r="O34" s="13">
        <f t="shared" si="26"/>
        <v>-7.7863268503303162E-3</v>
      </c>
      <c r="P34" s="13">
        <f t="shared" si="26"/>
        <v>5.2330863991552068E-3</v>
      </c>
      <c r="Q34" s="13"/>
      <c r="R34" s="22">
        <f t="shared" si="27"/>
        <v>0</v>
      </c>
      <c r="S34" s="22">
        <f t="shared" si="28"/>
        <v>0</v>
      </c>
      <c r="T34" s="22">
        <f t="shared" si="29"/>
        <v>0</v>
      </c>
      <c r="U34" s="22">
        <f t="shared" si="30"/>
        <v>0</v>
      </c>
      <c r="V34" s="22">
        <f t="shared" si="31"/>
        <v>0</v>
      </c>
      <c r="W34" s="22">
        <f t="shared" si="32"/>
        <v>0</v>
      </c>
    </row>
    <row r="35" spans="2:23" s="6" customFormat="1" outlineLevel="1" x14ac:dyDescent="0.15">
      <c r="B35" s="11">
        <v>2025</v>
      </c>
      <c r="C35" s="13">
        <f t="shared" si="25"/>
        <v>-5.4091054413497597E-3</v>
      </c>
      <c r="D35" s="13">
        <f t="shared" si="25"/>
        <v>8.4109540943977379E-3</v>
      </c>
      <c r="E35" s="13">
        <f t="shared" si="25"/>
        <v>1.3895220247195139E-2</v>
      </c>
      <c r="F35" s="13">
        <f t="shared" si="25"/>
        <v>9.42310878954844E-3</v>
      </c>
      <c r="G35" s="13">
        <f t="shared" si="25"/>
        <v>2.3449265208787873E-2</v>
      </c>
      <c r="H35" s="13">
        <f t="shared" si="25"/>
        <v>1.7913320219401729E-2</v>
      </c>
      <c r="J35" s="11">
        <v>2025</v>
      </c>
      <c r="K35" s="13">
        <f t="shared" si="26"/>
        <v>-5.4091054413497597E-3</v>
      </c>
      <c r="L35" s="13">
        <f t="shared" si="26"/>
        <v>8.4109540943977379E-3</v>
      </c>
      <c r="M35" s="13">
        <f t="shared" si="26"/>
        <v>1.3895220247195139E-2</v>
      </c>
      <c r="N35" s="13">
        <f t="shared" si="26"/>
        <v>9.42310878954844E-3</v>
      </c>
      <c r="O35" s="13">
        <f t="shared" si="26"/>
        <v>2.3449265208787873E-2</v>
      </c>
      <c r="P35" s="13">
        <f t="shared" si="26"/>
        <v>1.7913320219401729E-2</v>
      </c>
      <c r="Q35" s="13"/>
      <c r="R35" s="22">
        <f t="shared" si="27"/>
        <v>0</v>
      </c>
      <c r="S35" s="22">
        <f t="shared" si="28"/>
        <v>0</v>
      </c>
      <c r="T35" s="22">
        <f t="shared" si="29"/>
        <v>0</v>
      </c>
      <c r="U35" s="22">
        <f t="shared" si="30"/>
        <v>0</v>
      </c>
      <c r="V35" s="22">
        <f t="shared" si="31"/>
        <v>0</v>
      </c>
      <c r="W35" s="22">
        <f t="shared" si="32"/>
        <v>0</v>
      </c>
    </row>
    <row r="36" spans="2:23" s="6" customFormat="1" outlineLevel="1" x14ac:dyDescent="0.15">
      <c r="B36" s="11">
        <v>2026</v>
      </c>
      <c r="C36" s="13">
        <f t="shared" si="25"/>
        <v>-7.563654346765869E-3</v>
      </c>
      <c r="D36" s="13">
        <f t="shared" si="25"/>
        <v>2.322284171118727E-2</v>
      </c>
      <c r="E36" s="13">
        <f t="shared" si="25"/>
        <v>3.1021129156338034E-2</v>
      </c>
      <c r="F36" s="13">
        <f t="shared" si="25"/>
        <v>2.4606547906528498E-2</v>
      </c>
      <c r="G36" s="13">
        <f t="shared" si="25"/>
        <v>5.6390999963566779E-2</v>
      </c>
      <c r="H36" s="13">
        <f t="shared" si="25"/>
        <v>4.8400823584807906E-2</v>
      </c>
      <c r="J36" s="11">
        <v>2026</v>
      </c>
      <c r="K36" s="13">
        <f t="shared" si="26"/>
        <v>-4.1946274151560825E-3</v>
      </c>
      <c r="L36" s="13">
        <f t="shared" si="26"/>
        <v>1.216845322181026E-2</v>
      </c>
      <c r="M36" s="13">
        <f t="shared" si="26"/>
        <v>1.6432006783104747E-2</v>
      </c>
      <c r="N36" s="13">
        <f t="shared" si="26"/>
        <v>1.0672731517508138E-2</v>
      </c>
      <c r="O36" s="13">
        <f t="shared" si="26"/>
        <v>2.7280112697302794E-2</v>
      </c>
      <c r="P36" s="13">
        <f t="shared" si="26"/>
        <v>2.297105537353783E-2</v>
      </c>
      <c r="Q36" s="13"/>
      <c r="R36" s="22">
        <f t="shared" si="27"/>
        <v>-3.3690269316097865E-3</v>
      </c>
      <c r="S36" s="22">
        <f t="shared" si="28"/>
        <v>1.1054388489377009E-2</v>
      </c>
      <c r="T36" s="22">
        <f t="shared" si="29"/>
        <v>1.4589122373233288E-2</v>
      </c>
      <c r="U36" s="22">
        <f t="shared" si="30"/>
        <v>1.3933816389020359E-2</v>
      </c>
      <c r="V36" s="22">
        <f t="shared" si="31"/>
        <v>2.9110887266263985E-2</v>
      </c>
      <c r="W36" s="22">
        <f t="shared" si="32"/>
        <v>2.5429768211270076E-2</v>
      </c>
    </row>
    <row r="37" spans="2:23" s="6" customFormat="1" outlineLevel="1" x14ac:dyDescent="0.15">
      <c r="B37" s="11">
        <v>2027</v>
      </c>
      <c r="C37" s="13">
        <f t="shared" si="25"/>
        <v>2.2977400480863608E-3</v>
      </c>
      <c r="D37" s="13">
        <f t="shared" si="25"/>
        <v>8.0294203727697688E-3</v>
      </c>
      <c r="E37" s="13">
        <f t="shared" si="25"/>
        <v>5.7185406049187204E-3</v>
      </c>
      <c r="F37" s="13">
        <f t="shared" si="25"/>
        <v>1.4150714206659254E-2</v>
      </c>
      <c r="G37" s="13">
        <f t="shared" si="25"/>
        <v>1.9950176245357332E-2</v>
      </c>
      <c r="H37" s="13">
        <f t="shared" si="25"/>
        <v>2.2293756612369098E-2</v>
      </c>
      <c r="J37" s="11">
        <v>2027</v>
      </c>
      <c r="K37" s="13">
        <f t="shared" si="26"/>
        <v>8.8744470800512509E-3</v>
      </c>
      <c r="L37" s="13">
        <f t="shared" si="26"/>
        <v>1.6024715007298518E-2</v>
      </c>
      <c r="M37" s="13">
        <f t="shared" si="26"/>
        <v>7.0873714246026953E-3</v>
      </c>
      <c r="N37" s="13">
        <f t="shared" si="26"/>
        <v>1.7075760248266736E-2</v>
      </c>
      <c r="O37" s="13">
        <f t="shared" si="26"/>
        <v>2.4284153928106456E-2</v>
      </c>
      <c r="P37" s="13">
        <f t="shared" si="26"/>
        <v>3.3374109447076528E-2</v>
      </c>
      <c r="Q37" s="13"/>
      <c r="R37" s="22">
        <f t="shared" si="27"/>
        <v>-6.5767070319648901E-3</v>
      </c>
      <c r="S37" s="22">
        <f t="shared" si="28"/>
        <v>-7.995294634528749E-3</v>
      </c>
      <c r="T37" s="22">
        <f t="shared" si="29"/>
        <v>-1.3688308196839749E-3</v>
      </c>
      <c r="U37" s="22">
        <f t="shared" si="30"/>
        <v>-2.9250460416074819E-3</v>
      </c>
      <c r="V37" s="22">
        <f t="shared" si="31"/>
        <v>-4.3339776827491239E-3</v>
      </c>
      <c r="W37" s="22">
        <f t="shared" si="32"/>
        <v>-1.108035283470743E-2</v>
      </c>
    </row>
    <row r="38" spans="2:23" s="6" customFormat="1" outlineLevel="1" x14ac:dyDescent="0.15">
      <c r="B38" s="11">
        <v>2028</v>
      </c>
      <c r="C38" s="13">
        <f t="shared" ref="C38:H39" si="33">C20/C19-1</f>
        <v>1.1838134866435812E-2</v>
      </c>
      <c r="D38" s="13">
        <f t="shared" si="33"/>
        <v>1.8614278059354117E-2</v>
      </c>
      <c r="E38" s="13">
        <f t="shared" si="33"/>
        <v>6.6968648041840773E-3</v>
      </c>
      <c r="F38" s="13">
        <f t="shared" si="33"/>
        <v>2.1991267613070242E-2</v>
      </c>
      <c r="G38" s="13">
        <f t="shared" si="33"/>
        <v>2.8835404963331701E-2</v>
      </c>
      <c r="H38" s="13">
        <f t="shared" si="33"/>
        <v>4.1014897242651616E-2</v>
      </c>
      <c r="J38" s="11">
        <v>2028</v>
      </c>
      <c r="K38" s="13">
        <f t="shared" si="26"/>
        <v>1.30487097858214E-2</v>
      </c>
      <c r="L38" s="13">
        <f t="shared" si="26"/>
        <v>1.9552374053125376E-2</v>
      </c>
      <c r="M38" s="13">
        <f t="shared" si="26"/>
        <v>6.4198929473775479E-3</v>
      </c>
      <c r="N38" s="13">
        <f t="shared" si="26"/>
        <v>2.4449936848831788E-2</v>
      </c>
      <c r="O38" s="13">
        <f t="shared" si="26"/>
        <v>3.1026795773348992E-2</v>
      </c>
      <c r="P38" s="13">
        <f t="shared" si="26"/>
        <v>4.4480365212800743E-2</v>
      </c>
      <c r="Q38" s="13"/>
      <c r="R38" s="22">
        <f t="shared" si="27"/>
        <v>-1.2105749193855875E-3</v>
      </c>
      <c r="S38" s="22">
        <f t="shared" si="28"/>
        <v>-9.3809599377125963E-4</v>
      </c>
      <c r="T38" s="22">
        <f t="shared" si="29"/>
        <v>2.7697185680652936E-4</v>
      </c>
      <c r="U38" s="22">
        <f t="shared" si="30"/>
        <v>-2.4586692357615458E-3</v>
      </c>
      <c r="V38" s="22">
        <f t="shared" si="31"/>
        <v>-2.1913908100172907E-3</v>
      </c>
      <c r="W38" s="22">
        <f t="shared" si="32"/>
        <v>-3.4654679701491276E-3</v>
      </c>
    </row>
    <row r="39" spans="2:23" s="6" customFormat="1" outlineLevel="1" x14ac:dyDescent="0.15">
      <c r="B39" s="11">
        <v>2029</v>
      </c>
      <c r="C39" s="13">
        <f t="shared" si="33"/>
        <v>1.1895858014171035E-2</v>
      </c>
      <c r="D39" s="13">
        <f t="shared" si="33"/>
        <v>1.6805834184230317E-2</v>
      </c>
      <c r="E39" s="13">
        <f t="shared" si="33"/>
        <v>4.8522544401903289E-3</v>
      </c>
      <c r="F39" s="13">
        <f t="shared" si="33"/>
        <v>1.5052917489976947E-2</v>
      </c>
      <c r="G39" s="13">
        <f t="shared" si="33"/>
        <v>1.9978212515895599E-2</v>
      </c>
      <c r="H39" s="13">
        <f t="shared" si="33"/>
        <v>3.21117285095327E-2</v>
      </c>
      <c r="J39" s="11">
        <v>2029</v>
      </c>
      <c r="K39" s="13">
        <f t="shared" si="26"/>
        <v>1.189606195414572E-2</v>
      </c>
      <c r="L39" s="13">
        <f t="shared" si="26"/>
        <v>1.6942137715125094E-2</v>
      </c>
      <c r="M39" s="13">
        <f t="shared" si="26"/>
        <v>4.9867530378906455E-3</v>
      </c>
      <c r="N39" s="13">
        <f t="shared" si="26"/>
        <v>1.4939625789678113E-2</v>
      </c>
      <c r="O39" s="13">
        <f t="shared" si="26"/>
        <v>2.000087905186021E-2</v>
      </c>
      <c r="P39" s="13">
        <f t="shared" si="26"/>
        <v>3.2134872702344275E-2</v>
      </c>
      <c r="Q39" s="13"/>
      <c r="R39" s="22">
        <f t="shared" ref="R39" si="34">C39-K39</f>
        <v>-2.0393997468559633E-7</v>
      </c>
      <c r="S39" s="22">
        <f t="shared" ref="S39" si="35">D39-L39</f>
        <v>-1.3630353089477687E-4</v>
      </c>
      <c r="T39" s="22">
        <f t="shared" ref="T39" si="36">E39-M39</f>
        <v>-1.3449859770031658E-4</v>
      </c>
      <c r="U39" s="22">
        <f t="shared" ref="U39" si="37">F39-N39</f>
        <v>1.1329170029883429E-4</v>
      </c>
      <c r="V39" s="22">
        <f t="shared" ref="V39" si="38">G39-O39</f>
        <v>-2.2666535964610546E-5</v>
      </c>
      <c r="W39" s="22">
        <f t="shared" ref="W39" si="39">H39-P39</f>
        <v>-2.3144192811574982E-5</v>
      </c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41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07B5-33A3-4826-BF42-C673F319656F}">
  <dimension ref="B1:W50"/>
  <sheetViews>
    <sheetView zoomScale="150" zoomScaleNormal="150" workbookViewId="0">
      <selection activeCell="AA84" sqref="AA84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37</v>
      </c>
    </row>
    <row r="2" spans="2:23" s="6" customFormat="1" ht="11.5" customHeight="1" x14ac:dyDescent="0.15">
      <c r="K2" s="28" t="s">
        <v>19</v>
      </c>
      <c r="L2" s="28"/>
      <c r="M2" s="28"/>
      <c r="N2" s="28"/>
      <c r="O2" s="28"/>
      <c r="P2" s="28"/>
      <c r="Q2" s="29"/>
      <c r="R2" s="28" t="s">
        <v>26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24</v>
      </c>
      <c r="D3" s="8" t="s">
        <v>25</v>
      </c>
      <c r="E3" s="8" t="s">
        <v>17</v>
      </c>
      <c r="F3" s="8" t="s">
        <v>20</v>
      </c>
      <c r="G3" s="8" t="s">
        <v>21</v>
      </c>
      <c r="H3" s="8" t="s">
        <v>18</v>
      </c>
      <c r="K3" s="8" t="s">
        <v>24</v>
      </c>
      <c r="L3" s="8" t="s">
        <v>25</v>
      </c>
      <c r="M3" s="8" t="s">
        <v>17</v>
      </c>
      <c r="N3" s="8" t="s">
        <v>20</v>
      </c>
      <c r="O3" s="8" t="s">
        <v>21</v>
      </c>
      <c r="P3" s="8" t="s">
        <v>18</v>
      </c>
      <c r="Q3" s="18"/>
      <c r="R3" s="8" t="s">
        <v>24</v>
      </c>
      <c r="S3" s="8" t="s">
        <v>25</v>
      </c>
      <c r="T3" s="8" t="s">
        <v>17</v>
      </c>
      <c r="U3" s="8" t="s">
        <v>20</v>
      </c>
      <c r="V3" s="8" t="s">
        <v>21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8934.5596080115483</v>
      </c>
      <c r="D5" s="12">
        <v>5096.6356270846391</v>
      </c>
      <c r="E5" s="13">
        <f t="shared" ref="E5:E9" si="0">D5/C5</f>
        <v>0.5704406093518618</v>
      </c>
      <c r="F5" s="14">
        <v>0</v>
      </c>
      <c r="G5" s="14">
        <f t="shared" ref="G5:G9" si="1">(H5/365)/C5</f>
        <v>0</v>
      </c>
      <c r="H5" s="15">
        <f t="shared" ref="H5:H9" si="2">D5*F5*365</f>
        <v>0</v>
      </c>
      <c r="J5" s="5"/>
      <c r="K5" s="12">
        <v>8934.5596080115483</v>
      </c>
      <c r="L5" s="12">
        <v>5096.6356270846391</v>
      </c>
      <c r="M5" s="23">
        <v>0.5704406093518618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8999.4611715848896</v>
      </c>
      <c r="D6" s="12">
        <v>5200.4000017635399</v>
      </c>
      <c r="E6" s="13">
        <f t="shared" si="0"/>
        <v>0.57785681860414106</v>
      </c>
      <c r="F6" s="14">
        <v>80.199289330435008</v>
      </c>
      <c r="G6" s="14">
        <f t="shared" si="1"/>
        <v>46.343706186798201</v>
      </c>
      <c r="H6" s="15">
        <f t="shared" si="2"/>
        <v>152229960.29703152</v>
      </c>
      <c r="J6" s="5"/>
      <c r="K6" s="12">
        <v>8999.4611715848896</v>
      </c>
      <c r="L6" s="12">
        <v>5200.4000017635399</v>
      </c>
      <c r="M6" s="23">
        <v>0.57785681860414106</v>
      </c>
      <c r="N6" s="14">
        <v>80.199289330435008</v>
      </c>
      <c r="O6" s="14">
        <v>46.343706186798201</v>
      </c>
      <c r="P6" s="15">
        <v>152229960.29703152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8947.5833333333339</v>
      </c>
      <c r="D7" s="12">
        <v>5437.4918714797714</v>
      </c>
      <c r="E7" s="13">
        <f t="shared" si="0"/>
        <v>0.60770508291584557</v>
      </c>
      <c r="F7" s="14">
        <v>83.575390279317531</v>
      </c>
      <c r="G7" s="14">
        <f t="shared" si="1"/>
        <v>50.789189479416812</v>
      </c>
      <c r="H7" s="15">
        <f t="shared" si="2"/>
        <v>165870784.43433157</v>
      </c>
      <c r="J7" s="5"/>
      <c r="K7" s="12">
        <v>8947.5833333333339</v>
      </c>
      <c r="L7" s="12">
        <v>5437.4918714797714</v>
      </c>
      <c r="M7" s="23">
        <v>0.60770508291584557</v>
      </c>
      <c r="N7" s="14">
        <v>83.575390279317531</v>
      </c>
      <c r="O7" s="14">
        <v>50.789189479416812</v>
      </c>
      <c r="P7" s="15">
        <v>165870784.43433157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8950</v>
      </c>
      <c r="D8" s="12">
        <v>5495.3414091296845</v>
      </c>
      <c r="E8" s="13">
        <f t="shared" si="0"/>
        <v>0.6140046267184005</v>
      </c>
      <c r="F8" s="14">
        <v>87.699058860820045</v>
      </c>
      <c r="G8" s="14">
        <f t="shared" si="1"/>
        <v>53.84762789939284</v>
      </c>
      <c r="H8" s="15">
        <f t="shared" si="2"/>
        <v>175906738.44034156</v>
      </c>
      <c r="J8" s="5"/>
      <c r="K8" s="12">
        <v>8950</v>
      </c>
      <c r="L8" s="12">
        <v>5495.3414091296845</v>
      </c>
      <c r="M8" s="23">
        <v>0.6140046267184005</v>
      </c>
      <c r="N8" s="14">
        <v>87.699058860820045</v>
      </c>
      <c r="O8" s="14">
        <v>53.84762789939284</v>
      </c>
      <c r="P8" s="15">
        <v>175906738.44034156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8888.4166666666661</v>
      </c>
      <c r="D9" s="12">
        <v>5694.5103494623609</v>
      </c>
      <c r="E9" s="13">
        <f t="shared" si="0"/>
        <v>0.64066644971965703</v>
      </c>
      <c r="F9" s="14">
        <v>91.861885791267184</v>
      </c>
      <c r="G9" s="14">
        <f t="shared" si="1"/>
        <v>58.852828234443749</v>
      </c>
      <c r="H9" s="15">
        <f t="shared" si="2"/>
        <v>190934587.66621763</v>
      </c>
      <c r="J9" s="5"/>
      <c r="K9" s="12">
        <v>8888.4166666666661</v>
      </c>
      <c r="L9" s="12">
        <v>5694.5103494623609</v>
      </c>
      <c r="M9" s="23">
        <v>0.64066644971965703</v>
      </c>
      <c r="N9" s="14">
        <v>91.861885791267184</v>
      </c>
      <c r="O9" s="14">
        <v>58.852828234443749</v>
      </c>
      <c r="P9" s="15">
        <v>190934587.66621763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9007.5</v>
      </c>
      <c r="D10" s="12">
        <v>6023.790905017916</v>
      </c>
      <c r="E10" s="13">
        <f>D10/C10</f>
        <v>0.66875280655208613</v>
      </c>
      <c r="F10" s="14">
        <v>96.17594593726561</v>
      </c>
      <c r="G10" s="14">
        <f>(H10/365)/C10</f>
        <v>64.317933768348084</v>
      </c>
      <c r="H10" s="15">
        <f>D10*F10*365</f>
        <v>211460482.77271429</v>
      </c>
      <c r="J10" s="5"/>
      <c r="K10" s="12">
        <v>9007.5</v>
      </c>
      <c r="L10" s="12">
        <v>6023.790905017916</v>
      </c>
      <c r="M10" s="23">
        <v>0.66875280655208613</v>
      </c>
      <c r="N10" s="14">
        <v>96.17594593726561</v>
      </c>
      <c r="O10" s="14">
        <v>64.317933768348084</v>
      </c>
      <c r="P10" s="15">
        <v>211460482.77271429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9225.25</v>
      </c>
      <c r="D11" s="12">
        <v>6490.1335838333325</v>
      </c>
      <c r="E11" s="13">
        <f t="shared" ref="E11:E15" si="3">D11/C11</f>
        <v>0.70351845032203275</v>
      </c>
      <c r="F11" s="14">
        <v>96.937905612213925</v>
      </c>
      <c r="G11" s="14">
        <f t="shared" ref="G11:G15" si="4">(H11/365)/C11</f>
        <v>68.197605133768221</v>
      </c>
      <c r="H11" s="15">
        <f t="shared" ref="H11:H15" si="5">D11*F11*365</f>
        <v>229636084.21750778</v>
      </c>
      <c r="J11" s="11">
        <v>2019</v>
      </c>
      <c r="K11" s="12">
        <v>9225.25</v>
      </c>
      <c r="L11" s="12">
        <v>6490.1335838333325</v>
      </c>
      <c r="M11" s="23">
        <v>0.70351845032203275</v>
      </c>
      <c r="N11" s="14">
        <v>96.937905612213925</v>
      </c>
      <c r="O11" s="14">
        <v>68.197605133768221</v>
      </c>
      <c r="P11" s="15">
        <v>229636084.21750778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9310.5</v>
      </c>
      <c r="D12" s="12">
        <v>5326.6411754166666</v>
      </c>
      <c r="E12" s="13">
        <f t="shared" si="3"/>
        <v>0.57211118365465508</v>
      </c>
      <c r="F12" s="14">
        <v>96.253682532823603</v>
      </c>
      <c r="G12" s="14">
        <f t="shared" si="4"/>
        <v>55.067808244973115</v>
      </c>
      <c r="H12" s="15">
        <f t="shared" si="5"/>
        <v>187138722.4626601</v>
      </c>
      <c r="J12" s="11">
        <v>2020</v>
      </c>
      <c r="K12" s="12">
        <v>9310.5</v>
      </c>
      <c r="L12" s="12">
        <v>5326.6411754166666</v>
      </c>
      <c r="M12" s="23">
        <v>0.57211118365465508</v>
      </c>
      <c r="N12" s="14">
        <v>96.253682532823603</v>
      </c>
      <c r="O12" s="14">
        <v>55.067808244973115</v>
      </c>
      <c r="P12" s="15">
        <v>187138722.4626601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9397.3333333333339</v>
      </c>
      <c r="D13" s="12">
        <v>6482.3765158351207</v>
      </c>
      <c r="E13" s="13">
        <f t="shared" si="3"/>
        <v>0.68981021380197793</v>
      </c>
      <c r="F13" s="14">
        <v>112.80874162110894</v>
      </c>
      <c r="G13" s="14">
        <f t="shared" si="4"/>
        <v>77.816622176389231</v>
      </c>
      <c r="H13" s="15">
        <f t="shared" si="5"/>
        <v>266913089.17493981</v>
      </c>
      <c r="J13" s="11">
        <v>2021</v>
      </c>
      <c r="K13" s="12">
        <v>9397.3333333333339</v>
      </c>
      <c r="L13" s="12">
        <v>6482.3765158351207</v>
      </c>
      <c r="M13" s="23">
        <v>0.68981021380197793</v>
      </c>
      <c r="N13" s="14">
        <v>112.80874162110894</v>
      </c>
      <c r="O13" s="14">
        <v>77.816622176389231</v>
      </c>
      <c r="P13" s="15">
        <v>266913089.17493981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9497.3333333333339</v>
      </c>
      <c r="D14" s="12">
        <v>5715.7257872503787</v>
      </c>
      <c r="E14" s="13">
        <f t="shared" si="3"/>
        <v>0.60182427915734715</v>
      </c>
      <c r="F14" s="14">
        <v>119.44743072784284</v>
      </c>
      <c r="G14" s="14">
        <f t="shared" si="4"/>
        <v>71.886363894981173</v>
      </c>
      <c r="H14" s="15">
        <f t="shared" si="5"/>
        <v>249195997.41165614</v>
      </c>
      <c r="J14" s="11">
        <v>2022</v>
      </c>
      <c r="K14" s="12">
        <v>9497.3333333333339</v>
      </c>
      <c r="L14" s="12">
        <v>5715.7257872503787</v>
      </c>
      <c r="M14" s="23">
        <v>0.60182427915734715</v>
      </c>
      <c r="N14" s="14">
        <v>119.44743072784284</v>
      </c>
      <c r="O14" s="14">
        <v>71.886363894981173</v>
      </c>
      <c r="P14" s="15">
        <v>249195997.41165614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9583.0349462365593</v>
      </c>
      <c r="D15" s="12">
        <v>5270.2036966610058</v>
      </c>
      <c r="E15" s="13">
        <f t="shared" si="3"/>
        <v>0.54995142209417858</v>
      </c>
      <c r="F15" s="14">
        <v>117.9789232160835</v>
      </c>
      <c r="G15" s="14">
        <f t="shared" si="4"/>
        <v>64.882676599825018</v>
      </c>
      <c r="H15" s="15">
        <f t="shared" si="5"/>
        <v>226947129.4004432</v>
      </c>
      <c r="J15" s="11">
        <v>2023</v>
      </c>
      <c r="K15" s="12">
        <v>9583.0349462365593</v>
      </c>
      <c r="L15" s="12">
        <v>5270.2036966610058</v>
      </c>
      <c r="M15" s="23">
        <v>0.54995142209417858</v>
      </c>
      <c r="N15" s="14">
        <v>117.9789232160835</v>
      </c>
      <c r="O15" s="14">
        <v>64.882676599825018</v>
      </c>
      <c r="P15" s="15">
        <v>226947129.4004432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9808.6666666666661</v>
      </c>
      <c r="D16" s="12">
        <v>5428.2784946236561</v>
      </c>
      <c r="E16" s="13">
        <f t="shared" ref="E16:E18" si="6">D16/C16</f>
        <v>0.55341655284003843</v>
      </c>
      <c r="F16" s="14">
        <v>116.12231529733566</v>
      </c>
      <c r="G16" s="14">
        <f t="shared" ref="G16:G18" si="7">(H16/365)/C16</f>
        <v>64.264011439655562</v>
      </c>
      <c r="H16" s="15">
        <f t="shared" ref="H16:H18" si="8">D16*F16*365</f>
        <v>230075657.40916869</v>
      </c>
      <c r="J16" s="11">
        <v>2024</v>
      </c>
      <c r="K16" s="12">
        <v>9808.6666666666661</v>
      </c>
      <c r="L16" s="12">
        <v>5428.2784946236561</v>
      </c>
      <c r="M16" s="23">
        <v>0.55341655284003843</v>
      </c>
      <c r="N16" s="14">
        <v>116.12231529733566</v>
      </c>
      <c r="O16" s="14">
        <v>64.264011439655562</v>
      </c>
      <c r="P16" s="15">
        <v>230075657.40916869</v>
      </c>
      <c r="Q16" s="12"/>
      <c r="R16" s="25"/>
      <c r="S16" s="25"/>
      <c r="T16" s="24"/>
      <c r="U16" s="26"/>
      <c r="V16" s="26"/>
      <c r="W16" s="27"/>
    </row>
    <row r="17" spans="2:23" s="6" customFormat="1" ht="10.25" customHeight="1" outlineLevel="1" x14ac:dyDescent="0.15">
      <c r="B17" s="11">
        <v>2025</v>
      </c>
      <c r="C17" s="12">
        <v>10055.916666666666</v>
      </c>
      <c r="D17" s="12">
        <v>5475.1142574464839</v>
      </c>
      <c r="E17" s="13">
        <f t="shared" si="6"/>
        <v>0.54446694806007911</v>
      </c>
      <c r="F17" s="14">
        <v>116.40079775011075</v>
      </c>
      <c r="G17" s="14">
        <f t="shared" si="7"/>
        <v>63.376387102761328</v>
      </c>
      <c r="H17" s="15">
        <f t="shared" si="8"/>
        <v>232617298.57901821</v>
      </c>
      <c r="J17" s="11">
        <v>2025</v>
      </c>
      <c r="K17" s="12">
        <v>10055.916666666666</v>
      </c>
      <c r="L17" s="12">
        <v>5475.1142574464839</v>
      </c>
      <c r="M17" s="23">
        <v>0.54446694806007911</v>
      </c>
      <c r="N17" s="14">
        <v>116.40079775011075</v>
      </c>
      <c r="O17" s="14">
        <v>63.376387102761328</v>
      </c>
      <c r="P17" s="15">
        <v>232617298.57901821</v>
      </c>
      <c r="Q17" s="12"/>
      <c r="R17" s="25">
        <f t="shared" ref="R17:W20" si="9">C17-K17</f>
        <v>0</v>
      </c>
      <c r="S17" s="25">
        <f t="shared" si="9"/>
        <v>0</v>
      </c>
      <c r="T17" s="24">
        <f t="shared" si="9"/>
        <v>0</v>
      </c>
      <c r="U17" s="26">
        <f t="shared" si="9"/>
        <v>0</v>
      </c>
      <c r="V17" s="26">
        <f t="shared" si="9"/>
        <v>0</v>
      </c>
      <c r="W17" s="27">
        <f t="shared" si="9"/>
        <v>0</v>
      </c>
    </row>
    <row r="18" spans="2:23" s="6" customFormat="1" outlineLevel="1" x14ac:dyDescent="0.15">
      <c r="B18" s="11">
        <v>2026</v>
      </c>
      <c r="C18" s="12">
        <v>10157.208333333334</v>
      </c>
      <c r="D18" s="12">
        <v>5644.2944635378626</v>
      </c>
      <c r="E18" s="13">
        <f t="shared" si="6"/>
        <v>0.55569348174288657</v>
      </c>
      <c r="F18" s="14">
        <v>117.2056260479856</v>
      </c>
      <c r="G18" s="14">
        <f t="shared" si="7"/>
        <v>65.13040241845988</v>
      </c>
      <c r="H18" s="15">
        <f t="shared" si="8"/>
        <v>241463219.16231897</v>
      </c>
      <c r="J18" s="11">
        <v>2026</v>
      </c>
      <c r="K18" s="12">
        <v>10051.333333333334</v>
      </c>
      <c r="L18" s="12">
        <v>5520.3570461818263</v>
      </c>
      <c r="M18" s="23">
        <v>0.54921639379669285</v>
      </c>
      <c r="N18" s="14">
        <v>117.31786388536236</v>
      </c>
      <c r="O18" s="14">
        <v>64.432894131049991</v>
      </c>
      <c r="P18" s="15">
        <v>236387321.23803458</v>
      </c>
      <c r="Q18" s="12"/>
      <c r="R18" s="25">
        <f t="shared" si="9"/>
        <v>105.875</v>
      </c>
      <c r="S18" s="25">
        <f t="shared" si="9"/>
        <v>123.93741735603635</v>
      </c>
      <c r="T18" s="24">
        <f t="shared" si="9"/>
        <v>6.477087946193727E-3</v>
      </c>
      <c r="U18" s="26">
        <f t="shared" si="9"/>
        <v>-0.11223783737675319</v>
      </c>
      <c r="V18" s="26">
        <f t="shared" si="9"/>
        <v>0.69750828740988879</v>
      </c>
      <c r="W18" s="27">
        <f t="shared" si="9"/>
        <v>5075897.9242843986</v>
      </c>
    </row>
    <row r="19" spans="2:23" s="6" customFormat="1" outlineLevel="1" x14ac:dyDescent="0.15">
      <c r="B19" s="11">
        <v>2027</v>
      </c>
      <c r="C19" s="12">
        <v>10285.6</v>
      </c>
      <c r="D19" s="12">
        <v>5689.7547394629955</v>
      </c>
      <c r="E19" s="13">
        <f t="shared" ref="E19" si="10">D19/C19</f>
        <v>0.55317674607830314</v>
      </c>
      <c r="F19" s="14">
        <v>118.37401102697567</v>
      </c>
      <c r="G19" s="14">
        <f t="shared" ref="G19" si="11">(H19/365)/C19</f>
        <v>65.481750240139576</v>
      </c>
      <c r="H19" s="15">
        <f t="shared" ref="H19" si="12">D19*F19*365</f>
        <v>245834467.94854259</v>
      </c>
      <c r="J19" s="11">
        <v>2027</v>
      </c>
      <c r="K19" s="12">
        <v>10286.258333333333</v>
      </c>
      <c r="L19" s="12">
        <v>5592.7552119688889</v>
      </c>
      <c r="M19" s="23">
        <v>0.54371133124716287</v>
      </c>
      <c r="N19" s="14">
        <v>118.45844812667912</v>
      </c>
      <c r="O19" s="14">
        <v>64.407200528429684</v>
      </c>
      <c r="P19" s="15">
        <v>241815822.65421429</v>
      </c>
      <c r="Q19" s="12"/>
      <c r="R19" s="25">
        <f t="shared" si="9"/>
        <v>-0.65833333333284827</v>
      </c>
      <c r="S19" s="25">
        <f t="shared" si="9"/>
        <v>96.999527494106587</v>
      </c>
      <c r="T19" s="24">
        <f t="shared" si="9"/>
        <v>9.465414831140273E-3</v>
      </c>
      <c r="U19" s="26">
        <f t="shared" si="9"/>
        <v>-8.4437099703450258E-2</v>
      </c>
      <c r="V19" s="26">
        <f t="shared" si="9"/>
        <v>1.0745497117098921</v>
      </c>
      <c r="W19" s="27">
        <f t="shared" si="9"/>
        <v>4018645.2943283021</v>
      </c>
    </row>
    <row r="20" spans="2:23" s="6" customFormat="1" outlineLevel="1" x14ac:dyDescent="0.15">
      <c r="B20" s="11">
        <v>2028</v>
      </c>
      <c r="C20" s="12">
        <v>10449.516980563145</v>
      </c>
      <c r="D20" s="12">
        <v>5773.1359061494677</v>
      </c>
      <c r="E20" s="13">
        <f t="shared" ref="E20" si="13">D20/C20</f>
        <v>0.55247873340824427</v>
      </c>
      <c r="F20" s="14">
        <v>119.95360024483328</v>
      </c>
      <c r="G20" s="14">
        <f t="shared" ref="G20" si="14">(H20/365)/C20</f>
        <v>66.271813131024359</v>
      </c>
      <c r="H20" s="15">
        <f t="shared" ref="H20" si="15">D20*F20*365</f>
        <v>252765579.37555149</v>
      </c>
      <c r="J20" s="11">
        <v>2028</v>
      </c>
      <c r="K20" s="12">
        <v>10505.382241954541</v>
      </c>
      <c r="L20" s="12">
        <v>5673.9372444950404</v>
      </c>
      <c r="M20" s="23">
        <v>0.54009812435338822</v>
      </c>
      <c r="N20" s="14">
        <v>120.11795160821632</v>
      </c>
      <c r="O20" s="14">
        <v>64.875480364768691</v>
      </c>
      <c r="P20" s="15">
        <v>248762727.5672437</v>
      </c>
      <c r="Q20" s="12"/>
      <c r="R20" s="25">
        <f t="shared" si="9"/>
        <v>-55.865261391396416</v>
      </c>
      <c r="S20" s="25">
        <f t="shared" si="9"/>
        <v>99.198661654427269</v>
      </c>
      <c r="T20" s="24">
        <f t="shared" si="9"/>
        <v>1.2380609054856051E-2</v>
      </c>
      <c r="U20" s="26">
        <f t="shared" si="9"/>
        <v>-0.1643513633830338</v>
      </c>
      <c r="V20" s="26">
        <f t="shared" si="9"/>
        <v>1.3963327662556679</v>
      </c>
      <c r="W20" s="27">
        <f t="shared" si="9"/>
        <v>4002851.8083077967</v>
      </c>
    </row>
    <row r="21" spans="2:23" s="6" customFormat="1" outlineLevel="1" x14ac:dyDescent="0.15">
      <c r="B21" s="11">
        <v>2029</v>
      </c>
      <c r="C21" s="12">
        <v>10650.488905057144</v>
      </c>
      <c r="D21" s="12">
        <v>5854.5563632985641</v>
      </c>
      <c r="E21" s="13">
        <f t="shared" ref="E21" si="16">D21/C21</f>
        <v>0.54969836741660383</v>
      </c>
      <c r="F21" s="14">
        <v>121.65794436927595</v>
      </c>
      <c r="G21" s="14">
        <f t="shared" ref="G21" si="17">(H21/365)/C21</f>
        <v>66.875173403050994</v>
      </c>
      <c r="H21" s="15">
        <f t="shared" ref="H21" si="18">D21*F21*365</f>
        <v>259972451.70883304</v>
      </c>
      <c r="J21" s="11">
        <v>2029</v>
      </c>
      <c r="K21" s="12">
        <v>10707.428603584254</v>
      </c>
      <c r="L21" s="12">
        <v>5748.2314767840471</v>
      </c>
      <c r="M21" s="23">
        <v>0.5368451838063022</v>
      </c>
      <c r="N21" s="14">
        <v>121.92275762558511</v>
      </c>
      <c r="O21" s="14">
        <v>65.453645227678479</v>
      </c>
      <c r="P21" s="15">
        <v>255806685.0886907</v>
      </c>
      <c r="Q21" s="12"/>
      <c r="R21" s="25">
        <f t="shared" ref="R21" si="19">C21-K21</f>
        <v>-56.939698527110522</v>
      </c>
      <c r="S21" s="25">
        <f t="shared" ref="S21" si="20">D21-L21</f>
        <v>106.32488651451695</v>
      </c>
      <c r="T21" s="24">
        <f t="shared" ref="T21" si="21">E21-M21</f>
        <v>1.2853183610301633E-2</v>
      </c>
      <c r="U21" s="26">
        <f t="shared" ref="U21" si="22">F21-N21</f>
        <v>-0.26481325630915364</v>
      </c>
      <c r="V21" s="26">
        <f t="shared" ref="V21" si="23">G21-O21</f>
        <v>1.4215281753725151</v>
      </c>
      <c r="W21" s="27">
        <f t="shared" ref="W21" si="24">H21-P21</f>
        <v>4165766.6201423407</v>
      </c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f t="shared" ref="C24:H33" si="25">C6/C5-1</f>
        <v>7.264103259789545E-3</v>
      </c>
      <c r="D24" s="13">
        <f t="shared" si="25"/>
        <v>2.035938651911362E-2</v>
      </c>
      <c r="E24" s="13">
        <f t="shared" si="25"/>
        <v>1.3000843787586591E-2</v>
      </c>
      <c r="F24" s="13" t="e">
        <f t="shared" si="25"/>
        <v>#DIV/0!</v>
      </c>
      <c r="G24" s="13" t="e">
        <f t="shared" si="25"/>
        <v>#DIV/0!</v>
      </c>
      <c r="H24" s="13" t="e">
        <f t="shared" si="25"/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f t="shared" si="25"/>
        <v>-5.7645493727286334E-3</v>
      </c>
      <c r="D25" s="13">
        <f t="shared" si="25"/>
        <v>4.5591083308174296E-2</v>
      </c>
      <c r="E25" s="13">
        <f t="shared" si="25"/>
        <v>5.1653391204771637E-2</v>
      </c>
      <c r="F25" s="13">
        <f t="shared" si="25"/>
        <v>4.2096394831784512E-2</v>
      </c>
      <c r="G25" s="13">
        <f t="shared" si="25"/>
        <v>9.5924207587113175E-2</v>
      </c>
      <c r="H25" s="13">
        <f t="shared" si="25"/>
        <v>8.9606698383708716E-2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f t="shared" si="25"/>
        <v>2.7009155172241783E-4</v>
      </c>
      <c r="D26" s="13">
        <f t="shared" si="25"/>
        <v>1.0639011334129922E-2</v>
      </c>
      <c r="E26" s="13">
        <f t="shared" si="25"/>
        <v>1.0366119980976585E-2</v>
      </c>
      <c r="F26" s="13">
        <f t="shared" si="25"/>
        <v>4.9340703856970203E-2</v>
      </c>
      <c r="G26" s="13">
        <f t="shared" si="25"/>
        <v>6.0218295494073759E-2</v>
      </c>
      <c r="H26" s="13">
        <f t="shared" si="25"/>
        <v>6.050465149866846E-2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f t="shared" si="25"/>
        <v>-6.8808193668529194E-3</v>
      </c>
      <c r="D27" s="13">
        <f t="shared" si="25"/>
        <v>3.6243233223287374E-2</v>
      </c>
      <c r="E27" s="13">
        <f t="shared" si="25"/>
        <v>4.3422837289928795E-2</v>
      </c>
      <c r="F27" s="13">
        <f t="shared" si="25"/>
        <v>4.7467179061221332E-2</v>
      </c>
      <c r="G27" s="13">
        <f t="shared" si="25"/>
        <v>9.2951175944137487E-2</v>
      </c>
      <c r="H27" s="13">
        <f t="shared" si="25"/>
        <v>8.5430776325676305E-2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f t="shared" si="25"/>
        <v>1.339758674679592E-2</v>
      </c>
      <c r="D28" s="13">
        <f t="shared" si="25"/>
        <v>5.7824208816591893E-2</v>
      </c>
      <c r="E28" s="13">
        <f t="shared" si="25"/>
        <v>4.3839281493075033E-2</v>
      </c>
      <c r="F28" s="13">
        <f t="shared" si="25"/>
        <v>4.6962460097989212E-2</v>
      </c>
      <c r="G28" s="13">
        <f t="shared" si="25"/>
        <v>9.2860542098907484E-2</v>
      </c>
      <c r="H28" s="13">
        <f t="shared" si="25"/>
        <v>0.10750223601382802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f>B11</f>
        <v>2019</v>
      </c>
      <c r="C29" s="13">
        <f t="shared" si="25"/>
        <v>2.4174299195115267E-2</v>
      </c>
      <c r="D29" s="13">
        <f t="shared" si="25"/>
        <v>7.741681047178206E-2</v>
      </c>
      <c r="E29" s="13">
        <f t="shared" si="25"/>
        <v>5.1985791206154541E-2</v>
      </c>
      <c r="F29" s="13">
        <f t="shared" si="25"/>
        <v>7.9225597161822758E-3</v>
      </c>
      <c r="G29" s="13">
        <f t="shared" si="25"/>
        <v>6.0320211457560724E-2</v>
      </c>
      <c r="H29" s="13">
        <f t="shared" si="25"/>
        <v>8.5952709491963653E-2</v>
      </c>
      <c r="J29" s="11">
        <f>J11</f>
        <v>2019</v>
      </c>
      <c r="K29" s="13">
        <f t="shared" ref="K29:P39" si="26">K11/K10-1</f>
        <v>2.4174299195115267E-2</v>
      </c>
      <c r="L29" s="13">
        <f t="shared" si="26"/>
        <v>7.741681047178206E-2</v>
      </c>
      <c r="M29" s="13">
        <f t="shared" si="26"/>
        <v>5.1985791206154541E-2</v>
      </c>
      <c r="N29" s="13">
        <f t="shared" si="26"/>
        <v>7.9225597161822758E-3</v>
      </c>
      <c r="O29" s="13">
        <f t="shared" si="26"/>
        <v>6.0320211457560724E-2</v>
      </c>
      <c r="P29" s="13">
        <f t="shared" si="26"/>
        <v>8.5952709491963653E-2</v>
      </c>
      <c r="Q29" s="13"/>
      <c r="R29" s="22">
        <f t="shared" ref="R29:R38" si="27">C29-K29</f>
        <v>0</v>
      </c>
      <c r="S29" s="22">
        <f t="shared" ref="S29:S38" si="28">D29-L29</f>
        <v>0</v>
      </c>
      <c r="T29" s="22">
        <f t="shared" ref="T29:T38" si="29">E29-M29</f>
        <v>0</v>
      </c>
      <c r="U29" s="22">
        <f t="shared" ref="U29:U38" si="30">F29-N29</f>
        <v>0</v>
      </c>
      <c r="V29" s="22">
        <f t="shared" ref="V29:V38" si="31">G29-O29</f>
        <v>0</v>
      </c>
      <c r="W29" s="22">
        <f t="shared" ref="W29:W38" si="32">H29-P29</f>
        <v>0</v>
      </c>
    </row>
    <row r="30" spans="2:23" s="6" customFormat="1" x14ac:dyDescent="0.15">
      <c r="B30" s="11">
        <f>B12</f>
        <v>2020</v>
      </c>
      <c r="C30" s="13">
        <f t="shared" si="25"/>
        <v>9.2409419798922254E-3</v>
      </c>
      <c r="D30" s="13">
        <f t="shared" si="25"/>
        <v>-0.1792709492628749</v>
      </c>
      <c r="E30" s="13">
        <f t="shared" si="25"/>
        <v>-0.18678581436951158</v>
      </c>
      <c r="F30" s="13">
        <f t="shared" si="25"/>
        <v>-7.0583645795635475E-3</v>
      </c>
      <c r="G30" s="13">
        <f t="shared" si="25"/>
        <v>-0.19252577657296432</v>
      </c>
      <c r="H30" s="13">
        <f t="shared" si="25"/>
        <v>-0.18506395412401666</v>
      </c>
      <c r="J30" s="11">
        <f>J12</f>
        <v>2020</v>
      </c>
      <c r="K30" s="13">
        <f t="shared" si="26"/>
        <v>9.2409419798922254E-3</v>
      </c>
      <c r="L30" s="13">
        <f t="shared" si="26"/>
        <v>-0.1792709492628749</v>
      </c>
      <c r="M30" s="13">
        <f t="shared" si="26"/>
        <v>-0.18678581436951158</v>
      </c>
      <c r="N30" s="13">
        <f t="shared" si="26"/>
        <v>-7.0583645795635475E-3</v>
      </c>
      <c r="O30" s="13">
        <f t="shared" si="26"/>
        <v>-0.19252577657296432</v>
      </c>
      <c r="P30" s="13">
        <f t="shared" si="26"/>
        <v>-0.18506395412401666</v>
      </c>
      <c r="Q30" s="13"/>
      <c r="R30" s="22">
        <f t="shared" si="27"/>
        <v>0</v>
      </c>
      <c r="S30" s="22">
        <f t="shared" si="28"/>
        <v>0</v>
      </c>
      <c r="T30" s="22">
        <f t="shared" si="29"/>
        <v>0</v>
      </c>
      <c r="U30" s="22">
        <f t="shared" si="30"/>
        <v>0</v>
      </c>
      <c r="V30" s="22">
        <f t="shared" si="31"/>
        <v>0</v>
      </c>
      <c r="W30" s="22">
        <f t="shared" si="32"/>
        <v>0</v>
      </c>
    </row>
    <row r="31" spans="2:23" s="6" customFormat="1" x14ac:dyDescent="0.15">
      <c r="B31" s="11">
        <f>B13</f>
        <v>2021</v>
      </c>
      <c r="C31" s="13">
        <f t="shared" si="25"/>
        <v>9.3263877700804354E-3</v>
      </c>
      <c r="D31" s="13">
        <f t="shared" si="25"/>
        <v>0.21697262915932169</v>
      </c>
      <c r="E31" s="13">
        <f t="shared" si="25"/>
        <v>0.20572754651545111</v>
      </c>
      <c r="F31" s="13">
        <f t="shared" si="25"/>
        <v>0.171994033398565</v>
      </c>
      <c r="G31" s="13">
        <f t="shared" si="25"/>
        <v>0.41310549042039901</v>
      </c>
      <c r="H31" s="13">
        <f t="shared" si="25"/>
        <v>0.4262846601840895</v>
      </c>
      <c r="J31" s="11">
        <f>J13</f>
        <v>2021</v>
      </c>
      <c r="K31" s="13">
        <f t="shared" si="26"/>
        <v>9.3263877700804354E-3</v>
      </c>
      <c r="L31" s="13">
        <f t="shared" si="26"/>
        <v>0.21697262915932169</v>
      </c>
      <c r="M31" s="13">
        <f t="shared" si="26"/>
        <v>0.20572754651545111</v>
      </c>
      <c r="N31" s="13">
        <f t="shared" si="26"/>
        <v>0.171994033398565</v>
      </c>
      <c r="O31" s="13">
        <f t="shared" si="26"/>
        <v>0.41310549042039901</v>
      </c>
      <c r="P31" s="13">
        <f t="shared" si="26"/>
        <v>0.4262846601840895</v>
      </c>
      <c r="Q31" s="13"/>
      <c r="R31" s="22">
        <f t="shared" si="27"/>
        <v>0</v>
      </c>
      <c r="S31" s="22">
        <f t="shared" si="28"/>
        <v>0</v>
      </c>
      <c r="T31" s="22">
        <f t="shared" si="29"/>
        <v>0</v>
      </c>
      <c r="U31" s="22">
        <f t="shared" si="30"/>
        <v>0</v>
      </c>
      <c r="V31" s="22">
        <f t="shared" si="31"/>
        <v>0</v>
      </c>
      <c r="W31" s="22">
        <f t="shared" si="32"/>
        <v>0</v>
      </c>
    </row>
    <row r="32" spans="2:23" s="6" customFormat="1" outlineLevel="1" x14ac:dyDescent="0.15">
      <c r="B32" s="11">
        <f>B14</f>
        <v>2022</v>
      </c>
      <c r="C32" s="13">
        <f t="shared" si="25"/>
        <v>1.0641316685584545E-2</v>
      </c>
      <c r="D32" s="13">
        <f t="shared" si="25"/>
        <v>-0.11826692366788183</v>
      </c>
      <c r="E32" s="13">
        <f t="shared" si="25"/>
        <v>-0.12755093050838573</v>
      </c>
      <c r="F32" s="13">
        <f t="shared" si="25"/>
        <v>5.8849066227786517E-2</v>
      </c>
      <c r="G32" s="13">
        <f t="shared" si="25"/>
        <v>-7.6208117437502887E-2</v>
      </c>
      <c r="H32" s="13">
        <f t="shared" si="25"/>
        <v>-6.6377755463582933E-2</v>
      </c>
      <c r="J32" s="11">
        <f>J14</f>
        <v>2022</v>
      </c>
      <c r="K32" s="13">
        <f t="shared" si="26"/>
        <v>1.0641316685584545E-2</v>
      </c>
      <c r="L32" s="13">
        <f t="shared" si="26"/>
        <v>-0.11826692366788183</v>
      </c>
      <c r="M32" s="13">
        <f t="shared" si="26"/>
        <v>-0.12755093050838573</v>
      </c>
      <c r="N32" s="13">
        <f t="shared" si="26"/>
        <v>5.8849066227786517E-2</v>
      </c>
      <c r="O32" s="13">
        <f t="shared" si="26"/>
        <v>-7.6208117437502887E-2</v>
      </c>
      <c r="P32" s="13">
        <f t="shared" si="26"/>
        <v>-6.6377755463582933E-2</v>
      </c>
      <c r="Q32" s="13"/>
      <c r="R32" s="22">
        <f t="shared" si="27"/>
        <v>0</v>
      </c>
      <c r="S32" s="22">
        <f t="shared" si="28"/>
        <v>0</v>
      </c>
      <c r="T32" s="22">
        <f t="shared" si="29"/>
        <v>0</v>
      </c>
      <c r="U32" s="22">
        <f t="shared" si="30"/>
        <v>0</v>
      </c>
      <c r="V32" s="22">
        <f t="shared" si="31"/>
        <v>0</v>
      </c>
      <c r="W32" s="22">
        <f t="shared" si="32"/>
        <v>0</v>
      </c>
    </row>
    <row r="33" spans="2:23" s="6" customFormat="1" outlineLevel="1" x14ac:dyDescent="0.15">
      <c r="B33" s="11">
        <v>2023</v>
      </c>
      <c r="C33" s="13">
        <f t="shared" si="25"/>
        <v>9.0237553948362415E-3</v>
      </c>
      <c r="D33" s="13">
        <f t="shared" si="25"/>
        <v>-7.7946722283837366E-2</v>
      </c>
      <c r="E33" s="13">
        <f t="shared" si="25"/>
        <v>-8.6192695874282577E-2</v>
      </c>
      <c r="F33" s="13">
        <f t="shared" si="25"/>
        <v>-1.2294174121712964E-2</v>
      </c>
      <c r="G33" s="13">
        <f t="shared" si="25"/>
        <v>-9.7427201984897183E-2</v>
      </c>
      <c r="H33" s="13">
        <f t="shared" si="25"/>
        <v>-8.9282605829576034E-2</v>
      </c>
      <c r="J33" s="11">
        <v>2023</v>
      </c>
      <c r="K33" s="13">
        <f t="shared" si="26"/>
        <v>9.0237553948362415E-3</v>
      </c>
      <c r="L33" s="13">
        <f t="shared" si="26"/>
        <v>-7.7946722283837366E-2</v>
      </c>
      <c r="M33" s="13">
        <f t="shared" si="26"/>
        <v>-8.6192695874282577E-2</v>
      </c>
      <c r="N33" s="13">
        <f t="shared" si="26"/>
        <v>-1.2294174121712964E-2</v>
      </c>
      <c r="O33" s="13">
        <f t="shared" si="26"/>
        <v>-9.7427201984897183E-2</v>
      </c>
      <c r="P33" s="13">
        <f t="shared" si="26"/>
        <v>-8.9282605829576034E-2</v>
      </c>
      <c r="Q33" s="13"/>
      <c r="R33" s="22">
        <f t="shared" si="27"/>
        <v>0</v>
      </c>
      <c r="S33" s="22">
        <f t="shared" si="28"/>
        <v>0</v>
      </c>
      <c r="T33" s="22">
        <f t="shared" si="29"/>
        <v>0</v>
      </c>
      <c r="U33" s="22">
        <f t="shared" si="30"/>
        <v>0</v>
      </c>
      <c r="V33" s="22">
        <f t="shared" si="31"/>
        <v>0</v>
      </c>
      <c r="W33" s="22">
        <f t="shared" si="32"/>
        <v>0</v>
      </c>
    </row>
    <row r="34" spans="2:23" s="6" customFormat="1" outlineLevel="1" x14ac:dyDescent="0.15">
      <c r="B34" s="11">
        <v>2024</v>
      </c>
      <c r="C34" s="13">
        <f t="shared" ref="C34:H39" si="33">C16/C15-1</f>
        <v>2.3544912618597591E-2</v>
      </c>
      <c r="D34" s="13">
        <f t="shared" si="33"/>
        <v>2.999405849584158E-2</v>
      </c>
      <c r="E34" s="13">
        <f t="shared" si="33"/>
        <v>6.3007942277244489E-3</v>
      </c>
      <c r="F34" s="13">
        <f t="shared" si="33"/>
        <v>-1.5736776265938501E-2</v>
      </c>
      <c r="G34" s="13">
        <f t="shared" si="33"/>
        <v>-9.5351362272734219E-3</v>
      </c>
      <c r="H34" s="13">
        <f t="shared" si="33"/>
        <v>1.3785272442046415E-2</v>
      </c>
      <c r="J34" s="11">
        <v>2024</v>
      </c>
      <c r="K34" s="13">
        <f t="shared" si="26"/>
        <v>2.3544912618597591E-2</v>
      </c>
      <c r="L34" s="13">
        <f t="shared" si="26"/>
        <v>2.999405849584158E-2</v>
      </c>
      <c r="M34" s="13">
        <f t="shared" si="26"/>
        <v>6.3007942277244489E-3</v>
      </c>
      <c r="N34" s="13">
        <f t="shared" si="26"/>
        <v>-1.5736776265938501E-2</v>
      </c>
      <c r="O34" s="13">
        <f t="shared" si="26"/>
        <v>-9.5351362272734219E-3</v>
      </c>
      <c r="P34" s="13">
        <f t="shared" si="26"/>
        <v>1.3785272442046415E-2</v>
      </c>
      <c r="Q34" s="13"/>
      <c r="R34" s="22">
        <f t="shared" si="27"/>
        <v>0</v>
      </c>
      <c r="S34" s="22">
        <f t="shared" si="28"/>
        <v>0</v>
      </c>
      <c r="T34" s="22">
        <f t="shared" si="29"/>
        <v>0</v>
      </c>
      <c r="U34" s="22">
        <f t="shared" si="30"/>
        <v>0</v>
      </c>
      <c r="V34" s="22">
        <f t="shared" si="31"/>
        <v>0</v>
      </c>
      <c r="W34" s="22">
        <f t="shared" si="32"/>
        <v>0</v>
      </c>
    </row>
    <row r="35" spans="2:23" s="6" customFormat="1" outlineLevel="1" x14ac:dyDescent="0.15">
      <c r="B35" s="11">
        <v>2025</v>
      </c>
      <c r="C35" s="13">
        <f t="shared" si="33"/>
        <v>2.5207299666961225E-2</v>
      </c>
      <c r="D35" s="13">
        <f t="shared" si="33"/>
        <v>8.6281061056863173E-3</v>
      </c>
      <c r="E35" s="13">
        <f t="shared" si="33"/>
        <v>-1.6171552393999589E-2</v>
      </c>
      <c r="F35" s="13">
        <f t="shared" si="33"/>
        <v>2.3981820553786726E-3</v>
      </c>
      <c r="G35" s="13">
        <f t="shared" si="33"/>
        <v>-1.3812152665379718E-2</v>
      </c>
      <c r="H35" s="13">
        <f t="shared" si="33"/>
        <v>1.1046979930299239E-2</v>
      </c>
      <c r="J35" s="11">
        <v>2025</v>
      </c>
      <c r="K35" s="13">
        <f t="shared" si="26"/>
        <v>2.5207299666961225E-2</v>
      </c>
      <c r="L35" s="13">
        <f t="shared" si="26"/>
        <v>8.6281061056863173E-3</v>
      </c>
      <c r="M35" s="13">
        <f t="shared" si="26"/>
        <v>-1.6171552393999589E-2</v>
      </c>
      <c r="N35" s="13">
        <f t="shared" si="26"/>
        <v>2.3981820553786726E-3</v>
      </c>
      <c r="O35" s="13">
        <f t="shared" si="26"/>
        <v>-1.3812152665379718E-2</v>
      </c>
      <c r="P35" s="13">
        <f t="shared" si="26"/>
        <v>1.1046979930299239E-2</v>
      </c>
      <c r="Q35" s="13"/>
      <c r="R35" s="22">
        <f t="shared" si="27"/>
        <v>0</v>
      </c>
      <c r="S35" s="22">
        <f t="shared" si="28"/>
        <v>0</v>
      </c>
      <c r="T35" s="22">
        <f t="shared" si="29"/>
        <v>0</v>
      </c>
      <c r="U35" s="22">
        <f t="shared" si="30"/>
        <v>0</v>
      </c>
      <c r="V35" s="22">
        <f t="shared" si="31"/>
        <v>0</v>
      </c>
      <c r="W35" s="22">
        <f t="shared" si="32"/>
        <v>0</v>
      </c>
    </row>
    <row r="36" spans="2:23" s="6" customFormat="1" outlineLevel="1" x14ac:dyDescent="0.15">
      <c r="B36" s="11">
        <v>2026</v>
      </c>
      <c r="C36" s="13">
        <f t="shared" si="33"/>
        <v>1.007284268796993E-2</v>
      </c>
      <c r="D36" s="13">
        <f t="shared" si="33"/>
        <v>3.0899849416162084E-2</v>
      </c>
      <c r="E36" s="13">
        <f t="shared" si="33"/>
        <v>2.061931164565145E-2</v>
      </c>
      <c r="F36" s="13">
        <f t="shared" si="33"/>
        <v>6.9142850687557988E-3</v>
      </c>
      <c r="G36" s="13">
        <f t="shared" si="33"/>
        <v>2.7676164513046775E-2</v>
      </c>
      <c r="H36" s="13">
        <f t="shared" si="33"/>
        <v>3.8027784852362911E-2</v>
      </c>
      <c r="J36" s="11">
        <v>2026</v>
      </c>
      <c r="K36" s="13">
        <f t="shared" si="26"/>
        <v>-4.5578473701213262E-4</v>
      </c>
      <c r="L36" s="13">
        <f t="shared" si="26"/>
        <v>8.2633506093154896E-3</v>
      </c>
      <c r="M36" s="13">
        <f t="shared" si="26"/>
        <v>8.7231112072749806E-3</v>
      </c>
      <c r="N36" s="13">
        <f t="shared" si="26"/>
        <v>7.8785210494893843E-3</v>
      </c>
      <c r="O36" s="13">
        <f t="shared" si="26"/>
        <v>1.6670357472028163E-2</v>
      </c>
      <c r="P36" s="13">
        <f t="shared" si="26"/>
        <v>1.6206974640519789E-2</v>
      </c>
      <c r="Q36" s="13"/>
      <c r="R36" s="22">
        <f t="shared" si="27"/>
        <v>1.0528627424982062E-2</v>
      </c>
      <c r="S36" s="22">
        <f t="shared" si="28"/>
        <v>2.2636498806846594E-2</v>
      </c>
      <c r="T36" s="22">
        <f t="shared" si="29"/>
        <v>1.189620043837647E-2</v>
      </c>
      <c r="U36" s="22">
        <f t="shared" si="30"/>
        <v>-9.6423598073358541E-4</v>
      </c>
      <c r="V36" s="22">
        <f t="shared" si="31"/>
        <v>1.1005807041018612E-2</v>
      </c>
      <c r="W36" s="22">
        <f t="shared" si="32"/>
        <v>2.1820810211843122E-2</v>
      </c>
    </row>
    <row r="37" spans="2:23" s="6" customFormat="1" outlineLevel="1" x14ac:dyDescent="0.15">
      <c r="B37" s="11">
        <v>2027</v>
      </c>
      <c r="C37" s="13">
        <f t="shared" si="33"/>
        <v>1.264044828590527E-2</v>
      </c>
      <c r="D37" s="13">
        <f t="shared" si="33"/>
        <v>8.0541999037799794E-3</v>
      </c>
      <c r="E37" s="13">
        <f t="shared" si="33"/>
        <v>-4.5289997944368832E-3</v>
      </c>
      <c r="F37" s="13">
        <f t="shared" si="33"/>
        <v>9.9686765762567742E-3</v>
      </c>
      <c r="G37" s="13">
        <f t="shared" si="33"/>
        <v>5.3945286476553278E-3</v>
      </c>
      <c r="H37" s="13">
        <f t="shared" si="33"/>
        <v>1.8103166193958131E-2</v>
      </c>
      <c r="J37" s="11">
        <v>2027</v>
      </c>
      <c r="K37" s="13">
        <f t="shared" si="26"/>
        <v>2.337252105856602E-2</v>
      </c>
      <c r="L37" s="13">
        <f t="shared" si="26"/>
        <v>1.3114761451369805E-2</v>
      </c>
      <c r="M37" s="13">
        <f t="shared" si="26"/>
        <v>-1.0023485481694849E-2</v>
      </c>
      <c r="N37" s="13">
        <f t="shared" si="26"/>
        <v>9.7221702095708906E-3</v>
      </c>
      <c r="O37" s="13">
        <f t="shared" si="26"/>
        <v>-3.9876530407045863E-4</v>
      </c>
      <c r="P37" s="13">
        <f t="shared" si="26"/>
        <v>2.2964435604028832E-2</v>
      </c>
      <c r="Q37" s="13"/>
      <c r="R37" s="22">
        <f t="shared" si="27"/>
        <v>-1.073207277266075E-2</v>
      </c>
      <c r="S37" s="22">
        <f t="shared" si="28"/>
        <v>-5.0605615475898258E-3</v>
      </c>
      <c r="T37" s="22">
        <f t="shared" si="29"/>
        <v>5.4944856872579662E-3</v>
      </c>
      <c r="U37" s="22">
        <f t="shared" si="30"/>
        <v>2.4650636668588355E-4</v>
      </c>
      <c r="V37" s="22">
        <f t="shared" si="31"/>
        <v>5.7932939517257864E-3</v>
      </c>
      <c r="W37" s="22">
        <f t="shared" si="32"/>
        <v>-4.861269410070701E-3</v>
      </c>
    </row>
    <row r="38" spans="2:23" s="6" customFormat="1" outlineLevel="1" x14ac:dyDescent="0.15">
      <c r="B38" s="11">
        <v>2028</v>
      </c>
      <c r="C38" s="13">
        <f t="shared" si="33"/>
        <v>1.5936550183085485E-2</v>
      </c>
      <c r="D38" s="13">
        <f t="shared" si="33"/>
        <v>1.4654615269821258E-2</v>
      </c>
      <c r="E38" s="13">
        <f t="shared" si="33"/>
        <v>-1.2618257636594077E-3</v>
      </c>
      <c r="F38" s="13">
        <f t="shared" si="33"/>
        <v>1.3344054190219667E-2</v>
      </c>
      <c r="G38" s="13">
        <f t="shared" si="33"/>
        <v>1.2065390555191513E-2</v>
      </c>
      <c r="H38" s="13">
        <f t="shared" si="33"/>
        <v>2.8194221440338119E-2</v>
      </c>
      <c r="J38" s="11">
        <v>2028</v>
      </c>
      <c r="K38" s="13">
        <f t="shared" si="26"/>
        <v>2.130258656941586E-2</v>
      </c>
      <c r="L38" s="13">
        <f t="shared" si="26"/>
        <v>1.4515570492414254E-2</v>
      </c>
      <c r="M38" s="13">
        <f t="shared" si="26"/>
        <v>-6.6454507863330514E-3</v>
      </c>
      <c r="N38" s="13">
        <f t="shared" si="26"/>
        <v>1.4009161083745836E-2</v>
      </c>
      <c r="O38" s="13">
        <f t="shared" si="26"/>
        <v>7.2706131068731583E-3</v>
      </c>
      <c r="P38" s="13">
        <f t="shared" si="26"/>
        <v>2.8728082541410682E-2</v>
      </c>
      <c r="Q38" s="13"/>
      <c r="R38" s="22">
        <f t="shared" si="27"/>
        <v>-5.3660363863303751E-3</v>
      </c>
      <c r="S38" s="22">
        <f t="shared" si="28"/>
        <v>1.3904477740700472E-4</v>
      </c>
      <c r="T38" s="22">
        <f t="shared" si="29"/>
        <v>5.3836250226736437E-3</v>
      </c>
      <c r="U38" s="22">
        <f t="shared" si="30"/>
        <v>-6.6510689352616836E-4</v>
      </c>
      <c r="V38" s="22">
        <f t="shared" si="31"/>
        <v>4.7947774483183547E-3</v>
      </c>
      <c r="W38" s="22">
        <f t="shared" si="32"/>
        <v>-5.3386110107256357E-4</v>
      </c>
    </row>
    <row r="39" spans="2:23" s="6" customFormat="1" outlineLevel="1" x14ac:dyDescent="0.15">
      <c r="B39" s="11">
        <v>2029</v>
      </c>
      <c r="C39" s="13">
        <f t="shared" si="33"/>
        <v>1.92326520802657E-2</v>
      </c>
      <c r="D39" s="13">
        <f t="shared" si="33"/>
        <v>1.4103332828587778E-2</v>
      </c>
      <c r="E39" s="13">
        <f t="shared" si="33"/>
        <v>-5.0325303464413551E-3</v>
      </c>
      <c r="F39" s="13">
        <f t="shared" si="33"/>
        <v>1.4208361574508777E-2</v>
      </c>
      <c r="G39" s="13">
        <f t="shared" si="33"/>
        <v>9.1043272172701695E-3</v>
      </c>
      <c r="H39" s="13">
        <f t="shared" si="33"/>
        <v>2.8512079655330647E-2</v>
      </c>
      <c r="J39" s="11">
        <v>2029</v>
      </c>
      <c r="K39" s="13">
        <f t="shared" si="26"/>
        <v>1.92326520802657E-2</v>
      </c>
      <c r="L39" s="13">
        <f t="shared" si="26"/>
        <v>1.3093946775863285E-2</v>
      </c>
      <c r="M39" s="13">
        <f t="shared" si="26"/>
        <v>-6.0228695498257823E-3</v>
      </c>
      <c r="N39" s="13">
        <f t="shared" si="26"/>
        <v>1.5025281343919783E-2</v>
      </c>
      <c r="O39" s="13">
        <f t="shared" si="26"/>
        <v>8.911916484610094E-3</v>
      </c>
      <c r="P39" s="13">
        <f t="shared" si="26"/>
        <v>2.831596835399286E-2</v>
      </c>
      <c r="Q39" s="13"/>
      <c r="R39" s="22">
        <f t="shared" ref="R39" si="34">C39-K39</f>
        <v>0</v>
      </c>
      <c r="S39" s="22">
        <f t="shared" ref="S39" si="35">D39-L39</f>
        <v>1.0093860527244924E-3</v>
      </c>
      <c r="T39" s="22">
        <f t="shared" ref="T39" si="36">E39-M39</f>
        <v>9.9033920338442716E-4</v>
      </c>
      <c r="U39" s="22">
        <f t="shared" ref="U39" si="37">F39-N39</f>
        <v>-8.1691976941100641E-4</v>
      </c>
      <c r="V39" s="22">
        <f t="shared" ref="V39" si="38">G39-O39</f>
        <v>1.9241073266007547E-4</v>
      </c>
      <c r="W39" s="22">
        <f t="shared" ref="W39" si="39">H39-P39</f>
        <v>1.9611130133778687E-4</v>
      </c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41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0F61-856D-4821-9D39-FF981B6EE3EF}">
  <dimension ref="B1:W50"/>
  <sheetViews>
    <sheetView zoomScale="150" zoomScaleNormal="150" workbookViewId="0">
      <selection activeCell="AH77" sqref="AH77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38</v>
      </c>
    </row>
    <row r="2" spans="2:23" s="6" customFormat="1" ht="11.5" customHeight="1" x14ac:dyDescent="0.15">
      <c r="K2" s="28" t="s">
        <v>19</v>
      </c>
      <c r="L2" s="28"/>
      <c r="M2" s="28"/>
      <c r="N2" s="28"/>
      <c r="O2" s="28"/>
      <c r="P2" s="28"/>
      <c r="Q2" s="29"/>
      <c r="R2" s="28" t="s">
        <v>26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24</v>
      </c>
      <c r="D3" s="8" t="s">
        <v>25</v>
      </c>
      <c r="E3" s="8" t="s">
        <v>17</v>
      </c>
      <c r="F3" s="8" t="s">
        <v>20</v>
      </c>
      <c r="G3" s="8" t="s">
        <v>21</v>
      </c>
      <c r="H3" s="8" t="s">
        <v>18</v>
      </c>
      <c r="K3" s="8" t="s">
        <v>24</v>
      </c>
      <c r="L3" s="8" t="s">
        <v>25</v>
      </c>
      <c r="M3" s="8" t="s">
        <v>17</v>
      </c>
      <c r="N3" s="8" t="s">
        <v>20</v>
      </c>
      <c r="O3" s="8" t="s">
        <v>21</v>
      </c>
      <c r="P3" s="8" t="s">
        <v>18</v>
      </c>
      <c r="Q3" s="18"/>
      <c r="R3" s="8" t="s">
        <v>24</v>
      </c>
      <c r="S3" s="8" t="s">
        <v>25</v>
      </c>
      <c r="T3" s="8" t="s">
        <v>17</v>
      </c>
      <c r="U3" s="8" t="s">
        <v>20</v>
      </c>
      <c r="V3" s="8" t="s">
        <v>21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58780.900177760806</v>
      </c>
      <c r="D5" s="12">
        <v>42991.115948238679</v>
      </c>
      <c r="E5" s="13">
        <f t="shared" ref="E5:E9" si="0">D5/C5</f>
        <v>0.73137899927065009</v>
      </c>
      <c r="F5" s="14">
        <v>0</v>
      </c>
      <c r="G5" s="14">
        <f t="shared" ref="G5:G9" si="1">(H5/365)/C5</f>
        <v>0</v>
      </c>
      <c r="H5" s="15">
        <f t="shared" ref="H5:H9" si="2">D5*F5*365</f>
        <v>0</v>
      </c>
      <c r="J5" s="5"/>
      <c r="K5" s="12">
        <v>58780.900177760806</v>
      </c>
      <c r="L5" s="12">
        <v>42991.115948238679</v>
      </c>
      <c r="M5" s="23">
        <v>0.73137899927065009</v>
      </c>
      <c r="N5" s="14">
        <v>0</v>
      </c>
      <c r="O5" s="14">
        <v>0</v>
      </c>
      <c r="P5" s="15">
        <v>0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59401.398307999712</v>
      </c>
      <c r="D6" s="12">
        <v>44309.629440519529</v>
      </c>
      <c r="E6" s="13">
        <f t="shared" si="0"/>
        <v>0.74593579785397501</v>
      </c>
      <c r="F6" s="14">
        <v>142.28550603666321</v>
      </c>
      <c r="G6" s="14">
        <f t="shared" si="1"/>
        <v>106.13585246851495</v>
      </c>
      <c r="H6" s="15">
        <f t="shared" si="2"/>
        <v>2301185587.2430935</v>
      </c>
      <c r="J6" s="5"/>
      <c r="K6" s="12">
        <v>59401.398307999712</v>
      </c>
      <c r="L6" s="12">
        <v>44309.629440519529</v>
      </c>
      <c r="M6" s="23">
        <v>0.74593579785397501</v>
      </c>
      <c r="N6" s="14">
        <v>142.28550603666321</v>
      </c>
      <c r="O6" s="14">
        <v>106.13585246851495</v>
      </c>
      <c r="P6" s="15">
        <v>2301185587.2430935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60089.5</v>
      </c>
      <c r="D7" s="12">
        <v>45941.78382616485</v>
      </c>
      <c r="E7" s="13">
        <f t="shared" si="0"/>
        <v>0.76455593450045101</v>
      </c>
      <c r="F7" s="14">
        <v>150.82960595860962</v>
      </c>
      <c r="G7" s="14">
        <f t="shared" si="1"/>
        <v>115.31767033401957</v>
      </c>
      <c r="H7" s="15">
        <f t="shared" si="2"/>
        <v>2529224120.3106651</v>
      </c>
      <c r="J7" s="5"/>
      <c r="K7" s="12">
        <v>60089.5</v>
      </c>
      <c r="L7" s="12">
        <v>45941.78382616485</v>
      </c>
      <c r="M7" s="23">
        <v>0.76455593450045101</v>
      </c>
      <c r="N7" s="14">
        <v>150.82960595860962</v>
      </c>
      <c r="O7" s="14">
        <v>115.31767033401957</v>
      </c>
      <c r="P7" s="15">
        <v>2529224120.3106651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60881.916666666664</v>
      </c>
      <c r="D8" s="12">
        <v>46945.968570255493</v>
      </c>
      <c r="E8" s="13">
        <f t="shared" si="0"/>
        <v>0.77109872915612043</v>
      </c>
      <c r="F8" s="14">
        <v>155.06519272304246</v>
      </c>
      <c r="G8" s="14">
        <f t="shared" si="1"/>
        <v>119.57057304508693</v>
      </c>
      <c r="H8" s="15">
        <f t="shared" si="2"/>
        <v>2657085267.329545</v>
      </c>
      <c r="J8" s="5"/>
      <c r="K8" s="12">
        <v>60881.916666666664</v>
      </c>
      <c r="L8" s="12">
        <v>46945.968570255493</v>
      </c>
      <c r="M8" s="23">
        <v>0.77109872915612043</v>
      </c>
      <c r="N8" s="14">
        <v>155.06519272304246</v>
      </c>
      <c r="O8" s="14">
        <v>119.57057304508693</v>
      </c>
      <c r="P8" s="15">
        <v>2657085267.329545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61224.583333333336</v>
      </c>
      <c r="D9" s="12">
        <v>47346.30161778356</v>
      </c>
      <c r="E9" s="13">
        <f t="shared" si="0"/>
        <v>0.77332174496002104</v>
      </c>
      <c r="F9" s="14">
        <v>160.19086806588984</v>
      </c>
      <c r="G9" s="14">
        <f t="shared" si="1"/>
        <v>123.87908161937445</v>
      </c>
      <c r="H9" s="15">
        <f t="shared" si="2"/>
        <v>2768322481.8897004</v>
      </c>
      <c r="J9" s="5"/>
      <c r="K9" s="12">
        <v>61224.583333333336</v>
      </c>
      <c r="L9" s="12">
        <v>47346.30161778356</v>
      </c>
      <c r="M9" s="23">
        <v>0.77332174496002104</v>
      </c>
      <c r="N9" s="14">
        <v>160.19086806588984</v>
      </c>
      <c r="O9" s="14">
        <v>123.87908161937445</v>
      </c>
      <c r="P9" s="15">
        <v>2768322481.8897004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61552</v>
      </c>
      <c r="D10" s="12">
        <v>48570.580216333801</v>
      </c>
      <c r="E10" s="13">
        <f>D10/C10</f>
        <v>0.78909832688350989</v>
      </c>
      <c r="F10" s="14">
        <v>166.42328675895968</v>
      </c>
      <c r="G10" s="14">
        <f>(H10/365)/C10</f>
        <v>131.32433713594966</v>
      </c>
      <c r="H10" s="15">
        <f>D10*F10*365</f>
        <v>2950395593.7780704</v>
      </c>
      <c r="J10" s="5"/>
      <c r="K10" s="12">
        <v>61552</v>
      </c>
      <c r="L10" s="12">
        <v>48570.580216333801</v>
      </c>
      <c r="M10" s="23">
        <v>0.78909832688350989</v>
      </c>
      <c r="N10" s="14">
        <v>166.42328675895968</v>
      </c>
      <c r="O10" s="14">
        <v>131.32433713594966</v>
      </c>
      <c r="P10" s="15">
        <v>2950395593.7780704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63224.083333333336</v>
      </c>
      <c r="D11" s="12">
        <v>49513.618740916681</v>
      </c>
      <c r="E11" s="13">
        <f t="shared" ref="E11:E15" si="3">D11/C11</f>
        <v>0.78314490508100176</v>
      </c>
      <c r="F11" s="14">
        <v>166.75228095693697</v>
      </c>
      <c r="G11" s="14">
        <f t="shared" ref="G11:G15" si="4">(H11/365)/C11</f>
        <v>130.59119924206095</v>
      </c>
      <c r="H11" s="15">
        <f t="shared" ref="H11:H15" si="5">D11*F11*365</f>
        <v>3013625735.1701994</v>
      </c>
      <c r="J11" s="11">
        <v>2019</v>
      </c>
      <c r="K11" s="12">
        <v>63224.083333333336</v>
      </c>
      <c r="L11" s="12">
        <v>49513.618740916681</v>
      </c>
      <c r="M11" s="23">
        <v>0.78314490508100176</v>
      </c>
      <c r="N11" s="14">
        <v>166.75228095693697</v>
      </c>
      <c r="O11" s="14">
        <v>130.59119924206095</v>
      </c>
      <c r="P11" s="15">
        <v>3013625735.1701994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59574.333333333336</v>
      </c>
      <c r="D12" s="12">
        <v>29067.178127249994</v>
      </c>
      <c r="E12" s="13">
        <f t="shared" si="3"/>
        <v>0.48791445075200157</v>
      </c>
      <c r="F12" s="14">
        <v>130.62605468465964</v>
      </c>
      <c r="G12" s="14">
        <f t="shared" si="4"/>
        <v>63.734339725366624</v>
      </c>
      <c r="H12" s="15">
        <f t="shared" si="5"/>
        <v>1385879741.8462985</v>
      </c>
      <c r="J12" s="11">
        <v>2020</v>
      </c>
      <c r="K12" s="12">
        <v>59574.333333333336</v>
      </c>
      <c r="L12" s="12">
        <v>29067.178127249994</v>
      </c>
      <c r="M12" s="23">
        <v>0.48791445075200157</v>
      </c>
      <c r="N12" s="14">
        <v>130.62605468465964</v>
      </c>
      <c r="O12" s="14">
        <v>63.734339725366624</v>
      </c>
      <c r="P12" s="15">
        <v>1385879741.8462985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63815.583333333336</v>
      </c>
      <c r="D13" s="12">
        <v>39283.235388803732</v>
      </c>
      <c r="E13" s="13">
        <f t="shared" si="3"/>
        <v>0.61557433681382001</v>
      </c>
      <c r="F13" s="14">
        <v>164.9685331308938</v>
      </c>
      <c r="G13" s="14">
        <f t="shared" si="4"/>
        <v>101.55039537719864</v>
      </c>
      <c r="H13" s="15">
        <f t="shared" si="5"/>
        <v>2365381667.3351974</v>
      </c>
      <c r="J13" s="11">
        <v>2021</v>
      </c>
      <c r="K13" s="12">
        <v>63815.583333333336</v>
      </c>
      <c r="L13" s="12">
        <v>39283.235388803732</v>
      </c>
      <c r="M13" s="23">
        <v>0.61557433681382001</v>
      </c>
      <c r="N13" s="14">
        <v>164.9685331308938</v>
      </c>
      <c r="O13" s="14">
        <v>101.55039537719864</v>
      </c>
      <c r="P13" s="15">
        <v>2365381667.3351974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63954.916666666664</v>
      </c>
      <c r="D14" s="12">
        <v>46413.875224014308</v>
      </c>
      <c r="E14" s="13">
        <f t="shared" si="3"/>
        <v>0.72572802284965288</v>
      </c>
      <c r="F14" s="14">
        <v>204.32457140735926</v>
      </c>
      <c r="G14" s="14">
        <f t="shared" si="4"/>
        <v>148.28406722706555</v>
      </c>
      <c r="H14" s="15">
        <f t="shared" si="5"/>
        <v>3461475734.3130016</v>
      </c>
      <c r="J14" s="11">
        <v>2022</v>
      </c>
      <c r="K14" s="12">
        <v>63954.916666666664</v>
      </c>
      <c r="L14" s="12">
        <v>46413.875224014308</v>
      </c>
      <c r="M14" s="23">
        <v>0.72572802284965288</v>
      </c>
      <c r="N14" s="14">
        <v>204.32457140735926</v>
      </c>
      <c r="O14" s="14">
        <v>148.28406722706555</v>
      </c>
      <c r="P14" s="15">
        <v>3461475734.3130016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64035.81451612903</v>
      </c>
      <c r="D15" s="12">
        <v>47100.934260470072</v>
      </c>
      <c r="E15" s="13">
        <f t="shared" si="3"/>
        <v>0.73554048802809435</v>
      </c>
      <c r="F15" s="14">
        <v>210.06653028151888</v>
      </c>
      <c r="G15" s="14">
        <f t="shared" si="4"/>
        <v>154.51243820163685</v>
      </c>
      <c r="H15" s="15">
        <f t="shared" si="5"/>
        <v>3611430389.086926</v>
      </c>
      <c r="J15" s="11">
        <v>2023</v>
      </c>
      <c r="K15" s="12">
        <v>64035.81451612903</v>
      </c>
      <c r="L15" s="12">
        <v>47100.934260470072</v>
      </c>
      <c r="M15" s="23">
        <v>0.73554048802809435</v>
      </c>
      <c r="N15" s="14">
        <v>210.06653028151888</v>
      </c>
      <c r="O15" s="14">
        <v>154.51243820163685</v>
      </c>
      <c r="P15" s="15">
        <v>3611430389.086926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64270.083333333336</v>
      </c>
      <c r="D16" s="12">
        <v>47852.061015104955</v>
      </c>
      <c r="E16" s="13">
        <f t="shared" ref="E16:E18" si="6">D16/C16</f>
        <v>0.74454642865363674</v>
      </c>
      <c r="F16" s="14">
        <v>212.55536500770694</v>
      </c>
      <c r="G16" s="14">
        <f t="shared" ref="G16:G18" si="7">(H16/365)/C16</f>
        <v>158.25733790765838</v>
      </c>
      <c r="H16" s="15">
        <f t="shared" ref="H16:H18" si="8">D16*F16*365</f>
        <v>3712492487.8343945</v>
      </c>
      <c r="J16" s="11">
        <v>2024</v>
      </c>
      <c r="K16" s="12">
        <v>64270.083333333336</v>
      </c>
      <c r="L16" s="12">
        <v>47852.061015104955</v>
      </c>
      <c r="M16" s="23">
        <v>0.74454642865363674</v>
      </c>
      <c r="N16" s="14">
        <v>212.55536500770694</v>
      </c>
      <c r="O16" s="14">
        <v>158.25733790765838</v>
      </c>
      <c r="P16" s="15">
        <v>3712492487.8343945</v>
      </c>
      <c r="Q16" s="12"/>
      <c r="R16" s="25"/>
      <c r="S16" s="25"/>
      <c r="T16" s="24"/>
      <c r="U16" s="26"/>
      <c r="V16" s="26"/>
      <c r="W16" s="27"/>
    </row>
    <row r="17" spans="2:23" s="6" customFormat="1" ht="10.25" customHeight="1" outlineLevel="1" x14ac:dyDescent="0.15">
      <c r="B17" s="11">
        <v>2025</v>
      </c>
      <c r="C17" s="12">
        <v>65942.833333333328</v>
      </c>
      <c r="D17" s="12">
        <v>47768.683739193861</v>
      </c>
      <c r="E17" s="13">
        <f t="shared" si="6"/>
        <v>0.72439537891447181</v>
      </c>
      <c r="F17" s="14">
        <v>212.27284436763503</v>
      </c>
      <c r="G17" s="14">
        <f t="shared" si="7"/>
        <v>153.76946752894568</v>
      </c>
      <c r="H17" s="15">
        <f t="shared" si="8"/>
        <v>3701097944.6910872</v>
      </c>
      <c r="J17" s="11">
        <v>2025</v>
      </c>
      <c r="K17" s="12">
        <v>65942.833333333328</v>
      </c>
      <c r="L17" s="12">
        <v>47768.683739193861</v>
      </c>
      <c r="M17" s="23">
        <v>0.72439537891447181</v>
      </c>
      <c r="N17" s="14">
        <v>212.27284436763503</v>
      </c>
      <c r="O17" s="14">
        <v>153.76946752894568</v>
      </c>
      <c r="P17" s="15">
        <v>3701097944.6910872</v>
      </c>
      <c r="Q17" s="12"/>
      <c r="R17" s="25">
        <f t="shared" ref="R17:W20" si="9">C17-K17</f>
        <v>0</v>
      </c>
      <c r="S17" s="25">
        <f t="shared" si="9"/>
        <v>0</v>
      </c>
      <c r="T17" s="24">
        <f t="shared" si="9"/>
        <v>0</v>
      </c>
      <c r="U17" s="26">
        <f t="shared" si="9"/>
        <v>0</v>
      </c>
      <c r="V17" s="26">
        <f t="shared" si="9"/>
        <v>0</v>
      </c>
      <c r="W17" s="27">
        <f t="shared" si="9"/>
        <v>0</v>
      </c>
    </row>
    <row r="18" spans="2:23" s="6" customFormat="1" outlineLevel="1" x14ac:dyDescent="0.15">
      <c r="B18" s="11">
        <v>2026</v>
      </c>
      <c r="C18" s="12">
        <v>67053.958333333328</v>
      </c>
      <c r="D18" s="12">
        <v>49355.857587520753</v>
      </c>
      <c r="E18" s="13">
        <f t="shared" si="6"/>
        <v>0.73606180476575034</v>
      </c>
      <c r="F18" s="14">
        <v>215.21689184165774</v>
      </c>
      <c r="G18" s="14">
        <f t="shared" si="7"/>
        <v>158.41293382504588</v>
      </c>
      <c r="H18" s="15">
        <f t="shared" si="8"/>
        <v>3877108206.4204865</v>
      </c>
      <c r="J18" s="11">
        <v>2026</v>
      </c>
      <c r="K18" s="12">
        <v>67306.291666666672</v>
      </c>
      <c r="L18" s="12">
        <v>48310.2591680798</v>
      </c>
      <c r="M18" s="23">
        <v>0.71776735832268967</v>
      </c>
      <c r="N18" s="14">
        <v>213.27879231284808</v>
      </c>
      <c r="O18" s="14">
        <v>153.08455534464653</v>
      </c>
      <c r="P18" s="15">
        <v>3760797112.0663962</v>
      </c>
      <c r="Q18" s="12"/>
      <c r="R18" s="25">
        <f t="shared" si="9"/>
        <v>-252.33333333334303</v>
      </c>
      <c r="S18" s="25">
        <f t="shared" si="9"/>
        <v>1045.5984194409539</v>
      </c>
      <c r="T18" s="24">
        <f t="shared" si="9"/>
        <v>1.8294446443060663E-2</v>
      </c>
      <c r="U18" s="26">
        <f t="shared" si="9"/>
        <v>1.9380995288096585</v>
      </c>
      <c r="V18" s="26">
        <f t="shared" si="9"/>
        <v>5.3283784803993512</v>
      </c>
      <c r="W18" s="27">
        <f t="shared" si="9"/>
        <v>116311094.35409021</v>
      </c>
    </row>
    <row r="19" spans="2:23" s="6" customFormat="1" outlineLevel="1" x14ac:dyDescent="0.15">
      <c r="B19" s="11">
        <v>2027</v>
      </c>
      <c r="C19" s="12">
        <v>67619.34166666666</v>
      </c>
      <c r="D19" s="12">
        <v>49905.229059619007</v>
      </c>
      <c r="E19" s="13">
        <f t="shared" ref="E19" si="10">D19/C19</f>
        <v>0.73803186824310762</v>
      </c>
      <c r="F19" s="14">
        <v>219.46873681278393</v>
      </c>
      <c r="G19" s="14">
        <f t="shared" ref="G19" si="11">(H19/365)/C19</f>
        <v>161.97492185089379</v>
      </c>
      <c r="H19" s="15">
        <f t="shared" ref="H19" si="12">D19*F19*365</f>
        <v>3997712717.454535</v>
      </c>
      <c r="J19" s="11">
        <v>2027</v>
      </c>
      <c r="K19" s="12">
        <v>67874.491666666669</v>
      </c>
      <c r="L19" s="12">
        <v>49011.523930663083</v>
      </c>
      <c r="M19" s="23">
        <v>0.72209047503972346</v>
      </c>
      <c r="N19" s="14">
        <v>217.54208560490338</v>
      </c>
      <c r="O19" s="14">
        <v>157.08506793557686</v>
      </c>
      <c r="P19" s="15">
        <v>3891655234.1111436</v>
      </c>
      <c r="Q19" s="12"/>
      <c r="R19" s="25">
        <f t="shared" si="9"/>
        <v>-255.15000000000873</v>
      </c>
      <c r="S19" s="25">
        <f t="shared" si="9"/>
        <v>893.70512895592401</v>
      </c>
      <c r="T19" s="24">
        <f t="shared" si="9"/>
        <v>1.5941393203384169E-2</v>
      </c>
      <c r="U19" s="26">
        <f t="shared" si="9"/>
        <v>1.9266512078805533</v>
      </c>
      <c r="V19" s="26">
        <f t="shared" si="9"/>
        <v>4.8898539153169338</v>
      </c>
      <c r="W19" s="27">
        <f t="shared" si="9"/>
        <v>106057483.34339142</v>
      </c>
    </row>
    <row r="20" spans="2:23" s="6" customFormat="1" outlineLevel="1" x14ac:dyDescent="0.15">
      <c r="B20" s="11">
        <v>2028</v>
      </c>
      <c r="C20" s="12">
        <v>68489.383333333346</v>
      </c>
      <c r="D20" s="12">
        <v>50749.997552059816</v>
      </c>
      <c r="E20" s="13">
        <f t="shared" ref="E20" si="13">D20/C20</f>
        <v>0.74099072121970933</v>
      </c>
      <c r="F20" s="14">
        <v>224.14837482197998</v>
      </c>
      <c r="G20" s="14">
        <f t="shared" ref="G20" si="14">(H20/365)/C20</f>
        <v>166.0918659195647</v>
      </c>
      <c r="H20" s="15">
        <f t="shared" ref="H20" si="15">D20*F20*365</f>
        <v>4152068257.8324895</v>
      </c>
      <c r="J20" s="11">
        <v>2028</v>
      </c>
      <c r="K20" s="12">
        <v>68219.133989373629</v>
      </c>
      <c r="L20" s="12">
        <v>49828.39195248847</v>
      </c>
      <c r="M20" s="23">
        <v>0.73041665935322697</v>
      </c>
      <c r="N20" s="14">
        <v>222.17788331253692</v>
      </c>
      <c r="O20" s="14">
        <v>162.28242731131431</v>
      </c>
      <c r="P20" s="15">
        <v>4040829828.298038</v>
      </c>
      <c r="Q20" s="12"/>
      <c r="R20" s="25">
        <f t="shared" si="9"/>
        <v>270.2493439597165</v>
      </c>
      <c r="S20" s="25">
        <f t="shared" si="9"/>
        <v>921.60559957134683</v>
      </c>
      <c r="T20" s="24">
        <f t="shared" si="9"/>
        <v>1.0574061866482354E-2</v>
      </c>
      <c r="U20" s="26">
        <f t="shared" si="9"/>
        <v>1.9704915094430646</v>
      </c>
      <c r="V20" s="26">
        <f t="shared" si="9"/>
        <v>3.8094386082503888</v>
      </c>
      <c r="W20" s="27">
        <f t="shared" si="9"/>
        <v>111238429.53445148</v>
      </c>
    </row>
    <row r="21" spans="2:23" s="6" customFormat="1" outlineLevel="1" x14ac:dyDescent="0.15">
      <c r="B21" s="11">
        <v>2029</v>
      </c>
      <c r="C21" s="12">
        <v>68763.340866666607</v>
      </c>
      <c r="D21" s="12">
        <v>51961.815550649611</v>
      </c>
      <c r="E21" s="13">
        <f t="shared" ref="E21" si="16">D21/C21</f>
        <v>0.75566159083812601</v>
      </c>
      <c r="F21" s="14">
        <v>227.09295434696608</v>
      </c>
      <c r="G21" s="14">
        <f t="shared" ref="G21" si="17">(H21/365)/C21</f>
        <v>171.60542314995831</v>
      </c>
      <c r="H21" s="15">
        <f t="shared" ref="H21" si="18">D21*F21*365</f>
        <v>4307059205.4196377</v>
      </c>
      <c r="J21" s="11">
        <v>2029</v>
      </c>
      <c r="K21" s="12">
        <v>68492.01052533109</v>
      </c>
      <c r="L21" s="12">
        <v>51012.520650575541</v>
      </c>
      <c r="M21" s="23">
        <v>0.74479519960520169</v>
      </c>
      <c r="N21" s="14">
        <v>225.08074906885707</v>
      </c>
      <c r="O21" s="14">
        <v>167.63906143002771</v>
      </c>
      <c r="P21" s="15">
        <v>4190906771.3715601</v>
      </c>
      <c r="Q21" s="12"/>
      <c r="R21" s="25">
        <f t="shared" ref="R21" si="19">C21-K21</f>
        <v>271.33034133551701</v>
      </c>
      <c r="S21" s="25">
        <f t="shared" ref="S21" si="20">D21-L21</f>
        <v>949.29490007407003</v>
      </c>
      <c r="T21" s="24">
        <f t="shared" ref="T21" si="21">E21-M21</f>
        <v>1.0866391232924322E-2</v>
      </c>
      <c r="U21" s="26">
        <f t="shared" ref="U21" si="22">F21-N21</f>
        <v>2.0122052781090076</v>
      </c>
      <c r="V21" s="26">
        <f t="shared" ref="V21" si="23">G21-O21</f>
        <v>3.9663617199306032</v>
      </c>
      <c r="W21" s="27">
        <f t="shared" ref="W21" si="24">H21-P21</f>
        <v>116152434.04807758</v>
      </c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f t="shared" ref="C24:H33" si="25">C6/C5-1</f>
        <v>1.0556118201021869E-2</v>
      </c>
      <c r="D24" s="13">
        <f t="shared" si="25"/>
        <v>3.0669440957716398E-2</v>
      </c>
      <c r="E24" s="13">
        <f t="shared" si="25"/>
        <v>1.9903221992757958E-2</v>
      </c>
      <c r="F24" s="13" t="e">
        <f t="shared" si="25"/>
        <v>#DIV/0!</v>
      </c>
      <c r="G24" s="13" t="e">
        <f t="shared" si="25"/>
        <v>#DIV/0!</v>
      </c>
      <c r="H24" s="13" t="e">
        <f t="shared" si="25"/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f t="shared" si="25"/>
        <v>1.1583930877055115E-2</v>
      </c>
      <c r="D25" s="13">
        <f t="shared" si="25"/>
        <v>3.6835207295883521E-2</v>
      </c>
      <c r="E25" s="13">
        <f t="shared" si="25"/>
        <v>2.4962116981173565E-2</v>
      </c>
      <c r="F25" s="13">
        <f t="shared" si="25"/>
        <v>6.0048982921316219E-2</v>
      </c>
      <c r="G25" s="13">
        <f t="shared" si="25"/>
        <v>8.6510049638772069E-2</v>
      </c>
      <c r="H25" s="13">
        <f t="shared" si="25"/>
        <v>9.909610695101323E-2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f t="shared" si="25"/>
        <v>1.3187273428247215E-2</v>
      </c>
      <c r="D26" s="13">
        <f t="shared" si="25"/>
        <v>2.1857765642933957E-2</v>
      </c>
      <c r="E26" s="13">
        <f t="shared" si="25"/>
        <v>8.55764027251249E-3</v>
      </c>
      <c r="F26" s="13">
        <f t="shared" si="25"/>
        <v>2.8081932174477409E-2</v>
      </c>
      <c r="G26" s="13">
        <f t="shared" si="25"/>
        <v>3.6879887520696153E-2</v>
      </c>
      <c r="H26" s="13">
        <f t="shared" si="25"/>
        <v>5.0553506109681789E-2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f t="shared" si="25"/>
        <v>5.6283817170670325E-3</v>
      </c>
      <c r="D27" s="13">
        <f t="shared" si="25"/>
        <v>8.5275277030223418E-3</v>
      </c>
      <c r="E27" s="13">
        <f t="shared" si="25"/>
        <v>2.8829198127890976E-3</v>
      </c>
      <c r="F27" s="13">
        <f t="shared" si="25"/>
        <v>3.3054970318208143E-2</v>
      </c>
      <c r="G27" s="13">
        <f t="shared" si="25"/>
        <v>3.603318495983876E-2</v>
      </c>
      <c r="H27" s="13">
        <f t="shared" si="25"/>
        <v>4.1864375196341452E-2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f t="shared" si="25"/>
        <v>5.3477973853095495E-3</v>
      </c>
      <c r="D28" s="13">
        <f t="shared" si="25"/>
        <v>2.5857956307412833E-2</v>
      </c>
      <c r="E28" s="13">
        <f t="shared" si="25"/>
        <v>2.0401058196423127E-2</v>
      </c>
      <c r="F28" s="13">
        <f t="shared" si="25"/>
        <v>3.8906204631504293E-2</v>
      </c>
      <c r="G28" s="13">
        <f t="shared" si="25"/>
        <v>6.0100990572816704E-2</v>
      </c>
      <c r="H28" s="13">
        <f t="shared" si="25"/>
        <v>6.5770195878366078E-2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f>B11</f>
        <v>2019</v>
      </c>
      <c r="C29" s="13">
        <f t="shared" si="25"/>
        <v>2.7165377783554323E-2</v>
      </c>
      <c r="D29" s="13">
        <f t="shared" si="25"/>
        <v>1.9415838155166787E-2</v>
      </c>
      <c r="E29" s="13">
        <f t="shared" si="25"/>
        <v>-7.544588043952305E-3</v>
      </c>
      <c r="F29" s="13">
        <f t="shared" si="25"/>
        <v>1.9768519441261123E-3</v>
      </c>
      <c r="G29" s="13">
        <f t="shared" si="25"/>
        <v>-5.5826506333684911E-3</v>
      </c>
      <c r="H29" s="13">
        <f t="shared" si="25"/>
        <v>2.143107233669661E-2</v>
      </c>
      <c r="J29" s="11">
        <f>J11</f>
        <v>2019</v>
      </c>
      <c r="K29" s="13">
        <f t="shared" ref="K29:P39" si="26">K11/K10-1</f>
        <v>2.7165377783554323E-2</v>
      </c>
      <c r="L29" s="13">
        <f t="shared" si="26"/>
        <v>1.9415838155166787E-2</v>
      </c>
      <c r="M29" s="13">
        <f t="shared" si="26"/>
        <v>-7.544588043952305E-3</v>
      </c>
      <c r="N29" s="13">
        <f t="shared" si="26"/>
        <v>1.9768519441261123E-3</v>
      </c>
      <c r="O29" s="13">
        <f t="shared" si="26"/>
        <v>-5.5826506333684911E-3</v>
      </c>
      <c r="P29" s="13">
        <f t="shared" si="26"/>
        <v>2.143107233669661E-2</v>
      </c>
      <c r="Q29" s="13"/>
      <c r="R29" s="22">
        <f t="shared" ref="R29:R38" si="27">C29-K29</f>
        <v>0</v>
      </c>
      <c r="S29" s="22">
        <f t="shared" ref="S29:S38" si="28">D29-L29</f>
        <v>0</v>
      </c>
      <c r="T29" s="22">
        <f t="shared" ref="T29:T38" si="29">E29-M29</f>
        <v>0</v>
      </c>
      <c r="U29" s="22">
        <f t="shared" ref="U29:U38" si="30">F29-N29</f>
        <v>0</v>
      </c>
      <c r="V29" s="22">
        <f t="shared" ref="V29:V38" si="31">G29-O29</f>
        <v>0</v>
      </c>
      <c r="W29" s="22">
        <f t="shared" ref="W29:W38" si="32">H29-P29</f>
        <v>0</v>
      </c>
    </row>
    <row r="30" spans="2:23" s="6" customFormat="1" x14ac:dyDescent="0.15">
      <c r="B30" s="11">
        <f>B12</f>
        <v>2020</v>
      </c>
      <c r="C30" s="13">
        <f t="shared" si="25"/>
        <v>-5.7727211017953306E-2</v>
      </c>
      <c r="D30" s="13">
        <f t="shared" si="25"/>
        <v>-0.41294579417945709</v>
      </c>
      <c r="E30" s="13">
        <f t="shared" si="25"/>
        <v>-0.37698062314338121</v>
      </c>
      <c r="F30" s="13">
        <f t="shared" si="25"/>
        <v>-0.21664606963671318</v>
      </c>
      <c r="G30" s="13">
        <f t="shared" si="25"/>
        <v>-0.51195532244688202</v>
      </c>
      <c r="H30" s="13">
        <f t="shared" si="25"/>
        <v>-0.5401287805341799</v>
      </c>
      <c r="J30" s="11">
        <f>J12</f>
        <v>2020</v>
      </c>
      <c r="K30" s="13">
        <f t="shared" si="26"/>
        <v>-5.7727211017953306E-2</v>
      </c>
      <c r="L30" s="13">
        <f t="shared" si="26"/>
        <v>-0.41294579417945709</v>
      </c>
      <c r="M30" s="13">
        <f t="shared" si="26"/>
        <v>-0.37698062314338121</v>
      </c>
      <c r="N30" s="13">
        <f t="shared" si="26"/>
        <v>-0.21664606963671318</v>
      </c>
      <c r="O30" s="13">
        <f t="shared" si="26"/>
        <v>-0.51195532244688202</v>
      </c>
      <c r="P30" s="13">
        <f t="shared" si="26"/>
        <v>-0.5401287805341799</v>
      </c>
      <c r="Q30" s="13"/>
      <c r="R30" s="22">
        <f t="shared" si="27"/>
        <v>0</v>
      </c>
      <c r="S30" s="22">
        <f t="shared" si="28"/>
        <v>0</v>
      </c>
      <c r="T30" s="22">
        <f t="shared" si="29"/>
        <v>0</v>
      </c>
      <c r="U30" s="22">
        <f t="shared" si="30"/>
        <v>0</v>
      </c>
      <c r="V30" s="22">
        <f t="shared" si="31"/>
        <v>0</v>
      </c>
      <c r="W30" s="22">
        <f t="shared" si="32"/>
        <v>0</v>
      </c>
    </row>
    <row r="31" spans="2:23" s="6" customFormat="1" x14ac:dyDescent="0.15">
      <c r="B31" s="11">
        <f>B13</f>
        <v>2021</v>
      </c>
      <c r="C31" s="13">
        <f t="shared" si="25"/>
        <v>7.119257174510274E-2</v>
      </c>
      <c r="D31" s="13">
        <f t="shared" si="25"/>
        <v>0.35146367551848301</v>
      </c>
      <c r="E31" s="13">
        <f t="shared" si="25"/>
        <v>0.26164399489513324</v>
      </c>
      <c r="F31" s="13">
        <f t="shared" si="25"/>
        <v>0.26290680315760362</v>
      </c>
      <c r="G31" s="13">
        <f t="shared" si="25"/>
        <v>0.59333878431600051</v>
      </c>
      <c r="H31" s="13">
        <f t="shared" si="25"/>
        <v>0.70677267003267241</v>
      </c>
      <c r="J31" s="11">
        <f>J13</f>
        <v>2021</v>
      </c>
      <c r="K31" s="13">
        <f t="shared" si="26"/>
        <v>7.119257174510274E-2</v>
      </c>
      <c r="L31" s="13">
        <f t="shared" si="26"/>
        <v>0.35146367551848301</v>
      </c>
      <c r="M31" s="13">
        <f t="shared" si="26"/>
        <v>0.26164399489513324</v>
      </c>
      <c r="N31" s="13">
        <f t="shared" si="26"/>
        <v>0.26290680315760362</v>
      </c>
      <c r="O31" s="13">
        <f t="shared" si="26"/>
        <v>0.59333878431600051</v>
      </c>
      <c r="P31" s="13">
        <f t="shared" si="26"/>
        <v>0.70677267003267241</v>
      </c>
      <c r="Q31" s="13"/>
      <c r="R31" s="22">
        <f t="shared" si="27"/>
        <v>0</v>
      </c>
      <c r="S31" s="22">
        <f t="shared" si="28"/>
        <v>0</v>
      </c>
      <c r="T31" s="22">
        <f t="shared" si="29"/>
        <v>0</v>
      </c>
      <c r="U31" s="22">
        <f t="shared" si="30"/>
        <v>0</v>
      </c>
      <c r="V31" s="22">
        <f t="shared" si="31"/>
        <v>0</v>
      </c>
      <c r="W31" s="22">
        <f t="shared" si="32"/>
        <v>0</v>
      </c>
    </row>
    <row r="32" spans="2:23" s="6" customFormat="1" outlineLevel="1" x14ac:dyDescent="0.15">
      <c r="B32" s="11">
        <f>B14</f>
        <v>2022</v>
      </c>
      <c r="C32" s="13">
        <f t="shared" si="25"/>
        <v>2.1833747504200751E-3</v>
      </c>
      <c r="D32" s="13">
        <f t="shared" si="25"/>
        <v>0.18151864948585428</v>
      </c>
      <c r="E32" s="13">
        <f t="shared" si="25"/>
        <v>0.17894457167591238</v>
      </c>
      <c r="F32" s="13">
        <f t="shared" si="25"/>
        <v>0.23856694079493646</v>
      </c>
      <c r="G32" s="13">
        <f t="shared" si="25"/>
        <v>0.46020177150743158</v>
      </c>
      <c r="H32" s="13">
        <f t="shared" si="25"/>
        <v>0.46338993918585958</v>
      </c>
      <c r="J32" s="11">
        <f>J14</f>
        <v>2022</v>
      </c>
      <c r="K32" s="13">
        <f t="shared" si="26"/>
        <v>2.1833747504200751E-3</v>
      </c>
      <c r="L32" s="13">
        <f t="shared" si="26"/>
        <v>0.18151864948585428</v>
      </c>
      <c r="M32" s="13">
        <f t="shared" si="26"/>
        <v>0.17894457167591238</v>
      </c>
      <c r="N32" s="13">
        <f t="shared" si="26"/>
        <v>0.23856694079493646</v>
      </c>
      <c r="O32" s="13">
        <f t="shared" si="26"/>
        <v>0.46020177150743158</v>
      </c>
      <c r="P32" s="13">
        <f t="shared" si="26"/>
        <v>0.46338993918585958</v>
      </c>
      <c r="Q32" s="13"/>
      <c r="R32" s="22">
        <f t="shared" si="27"/>
        <v>0</v>
      </c>
      <c r="S32" s="22">
        <f t="shared" si="28"/>
        <v>0</v>
      </c>
      <c r="T32" s="22">
        <f t="shared" si="29"/>
        <v>0</v>
      </c>
      <c r="U32" s="22">
        <f t="shared" si="30"/>
        <v>0</v>
      </c>
      <c r="V32" s="22">
        <f t="shared" si="31"/>
        <v>0</v>
      </c>
      <c r="W32" s="22">
        <f t="shared" si="32"/>
        <v>0</v>
      </c>
    </row>
    <row r="33" spans="2:23" s="6" customFormat="1" outlineLevel="1" x14ac:dyDescent="0.15">
      <c r="B33" s="11">
        <v>2023</v>
      </c>
      <c r="C33" s="13">
        <f t="shared" si="25"/>
        <v>1.2649199417147372E-3</v>
      </c>
      <c r="D33" s="13">
        <f t="shared" si="25"/>
        <v>1.4802880240869953E-2</v>
      </c>
      <c r="E33" s="13">
        <f t="shared" si="25"/>
        <v>1.3520857496878369E-2</v>
      </c>
      <c r="F33" s="13">
        <f t="shared" si="25"/>
        <v>2.8102145692071145E-2</v>
      </c>
      <c r="G33" s="13">
        <f t="shared" si="25"/>
        <v>4.2002968296208643E-2</v>
      </c>
      <c r="H33" s="13">
        <f t="shared" si="25"/>
        <v>4.3321018630132269E-2</v>
      </c>
      <c r="J33" s="11">
        <v>2023</v>
      </c>
      <c r="K33" s="13">
        <f t="shared" si="26"/>
        <v>1.2649199417147372E-3</v>
      </c>
      <c r="L33" s="13">
        <f t="shared" si="26"/>
        <v>1.4802880240869953E-2</v>
      </c>
      <c r="M33" s="13">
        <f t="shared" si="26"/>
        <v>1.3520857496878369E-2</v>
      </c>
      <c r="N33" s="13">
        <f t="shared" si="26"/>
        <v>2.8102145692071145E-2</v>
      </c>
      <c r="O33" s="13">
        <f t="shared" si="26"/>
        <v>4.2002968296208643E-2</v>
      </c>
      <c r="P33" s="13">
        <f t="shared" si="26"/>
        <v>4.3321018630132269E-2</v>
      </c>
      <c r="Q33" s="13"/>
      <c r="R33" s="22">
        <f t="shared" si="27"/>
        <v>0</v>
      </c>
      <c r="S33" s="22">
        <f t="shared" si="28"/>
        <v>0</v>
      </c>
      <c r="T33" s="22">
        <f t="shared" si="29"/>
        <v>0</v>
      </c>
      <c r="U33" s="22">
        <f t="shared" si="30"/>
        <v>0</v>
      </c>
      <c r="V33" s="22">
        <f t="shared" si="31"/>
        <v>0</v>
      </c>
      <c r="W33" s="22">
        <f t="shared" si="32"/>
        <v>0</v>
      </c>
    </row>
    <row r="34" spans="2:23" s="6" customFormat="1" outlineLevel="1" x14ac:dyDescent="0.15">
      <c r="B34" s="11">
        <v>2024</v>
      </c>
      <c r="C34" s="13">
        <f t="shared" ref="C34:H39" si="33">C16/C15-1</f>
        <v>3.6584030198492101E-3</v>
      </c>
      <c r="D34" s="13">
        <f t="shared" si="33"/>
        <v>1.5947173159689854E-2</v>
      </c>
      <c r="E34" s="13">
        <f t="shared" si="33"/>
        <v>1.2243976738365969E-2</v>
      </c>
      <c r="F34" s="13">
        <f t="shared" si="33"/>
        <v>1.1847840409667576E-2</v>
      </c>
      <c r="G34" s="13">
        <f t="shared" si="33"/>
        <v>2.4236881830409507E-2</v>
      </c>
      <c r="H34" s="13">
        <f t="shared" si="33"/>
        <v>2.7983953131939021E-2</v>
      </c>
      <c r="J34" s="11">
        <v>2024</v>
      </c>
      <c r="K34" s="13">
        <f t="shared" si="26"/>
        <v>3.6584030198492101E-3</v>
      </c>
      <c r="L34" s="13">
        <f t="shared" si="26"/>
        <v>1.5947173159689854E-2</v>
      </c>
      <c r="M34" s="13">
        <f t="shared" si="26"/>
        <v>1.2243976738365969E-2</v>
      </c>
      <c r="N34" s="13">
        <f t="shared" si="26"/>
        <v>1.1847840409667576E-2</v>
      </c>
      <c r="O34" s="13">
        <f t="shared" si="26"/>
        <v>2.4236881830409507E-2</v>
      </c>
      <c r="P34" s="13">
        <f t="shared" si="26"/>
        <v>2.7983953131939021E-2</v>
      </c>
      <c r="Q34" s="13"/>
      <c r="R34" s="22">
        <f t="shared" si="27"/>
        <v>0</v>
      </c>
      <c r="S34" s="22">
        <f t="shared" si="28"/>
        <v>0</v>
      </c>
      <c r="T34" s="22">
        <f t="shared" si="29"/>
        <v>0</v>
      </c>
      <c r="U34" s="22">
        <f t="shared" si="30"/>
        <v>0</v>
      </c>
      <c r="V34" s="22">
        <f t="shared" si="31"/>
        <v>0</v>
      </c>
      <c r="W34" s="22">
        <f t="shared" si="32"/>
        <v>0</v>
      </c>
    </row>
    <row r="35" spans="2:23" s="6" customFormat="1" outlineLevel="1" x14ac:dyDescent="0.15">
      <c r="B35" s="11">
        <v>2025</v>
      </c>
      <c r="C35" s="13">
        <f t="shared" si="33"/>
        <v>2.6026883944188617E-2</v>
      </c>
      <c r="D35" s="13">
        <f t="shared" si="33"/>
        <v>-1.7423967566365661E-3</v>
      </c>
      <c r="E35" s="13">
        <f t="shared" si="33"/>
        <v>-2.7064866559905587E-2</v>
      </c>
      <c r="F35" s="13">
        <f t="shared" si="33"/>
        <v>-1.3291625928222306E-3</v>
      </c>
      <c r="G35" s="13">
        <f t="shared" si="33"/>
        <v>-2.8358055544516536E-2</v>
      </c>
      <c r="H35" s="13">
        <f t="shared" si="33"/>
        <v>-3.0692434208678954E-3</v>
      </c>
      <c r="J35" s="11">
        <v>2025</v>
      </c>
      <c r="K35" s="13">
        <f t="shared" si="26"/>
        <v>2.6026883944188617E-2</v>
      </c>
      <c r="L35" s="13">
        <f t="shared" si="26"/>
        <v>-1.7423967566365661E-3</v>
      </c>
      <c r="M35" s="13">
        <f t="shared" si="26"/>
        <v>-2.7064866559905587E-2</v>
      </c>
      <c r="N35" s="13">
        <f t="shared" si="26"/>
        <v>-1.3291625928222306E-3</v>
      </c>
      <c r="O35" s="13">
        <f t="shared" si="26"/>
        <v>-2.8358055544516536E-2</v>
      </c>
      <c r="P35" s="13">
        <f t="shared" si="26"/>
        <v>-3.0692434208678954E-3</v>
      </c>
      <c r="Q35" s="13"/>
      <c r="R35" s="22">
        <f t="shared" si="27"/>
        <v>0</v>
      </c>
      <c r="S35" s="22">
        <f t="shared" si="28"/>
        <v>0</v>
      </c>
      <c r="T35" s="22">
        <f t="shared" si="29"/>
        <v>0</v>
      </c>
      <c r="U35" s="22">
        <f t="shared" si="30"/>
        <v>0</v>
      </c>
      <c r="V35" s="22">
        <f t="shared" si="31"/>
        <v>0</v>
      </c>
      <c r="W35" s="22">
        <f t="shared" si="32"/>
        <v>0</v>
      </c>
    </row>
    <row r="36" spans="2:23" s="6" customFormat="1" outlineLevel="1" x14ac:dyDescent="0.15">
      <c r="B36" s="11">
        <v>2026</v>
      </c>
      <c r="C36" s="13">
        <f t="shared" si="33"/>
        <v>1.6849821941732346E-2</v>
      </c>
      <c r="D36" s="13">
        <f t="shared" si="33"/>
        <v>3.3226242049969379E-2</v>
      </c>
      <c r="E36" s="13">
        <f t="shared" si="33"/>
        <v>1.6105052835595046E-2</v>
      </c>
      <c r="F36" s="13">
        <f t="shared" si="33"/>
        <v>1.3869166745247519E-2</v>
      </c>
      <c r="G36" s="13">
        <f t="shared" si="33"/>
        <v>3.0197583244060633E-2</v>
      </c>
      <c r="H36" s="13">
        <f t="shared" si="33"/>
        <v>4.7556229086525903E-2</v>
      </c>
      <c r="J36" s="11">
        <v>2026</v>
      </c>
      <c r="K36" s="13">
        <f t="shared" si="26"/>
        <v>2.0676368672865708E-2</v>
      </c>
      <c r="L36" s="13">
        <f t="shared" si="26"/>
        <v>1.1337457649928551E-2</v>
      </c>
      <c r="M36" s="13">
        <f t="shared" si="26"/>
        <v>-9.1497278761143441E-3</v>
      </c>
      <c r="N36" s="13">
        <f t="shared" si="26"/>
        <v>4.7389384554099578E-3</v>
      </c>
      <c r="O36" s="13">
        <f t="shared" si="26"/>
        <v>-4.4541494179930474E-3</v>
      </c>
      <c r="P36" s="13">
        <f t="shared" si="26"/>
        <v>1.6130123619382264E-2</v>
      </c>
      <c r="Q36" s="13"/>
      <c r="R36" s="22">
        <f t="shared" si="27"/>
        <v>-3.8265467311333623E-3</v>
      </c>
      <c r="S36" s="22">
        <f t="shared" si="28"/>
        <v>2.1888784400040828E-2</v>
      </c>
      <c r="T36" s="22">
        <f t="shared" si="29"/>
        <v>2.525478071170939E-2</v>
      </c>
      <c r="U36" s="22">
        <f t="shared" si="30"/>
        <v>9.1302282898375609E-3</v>
      </c>
      <c r="V36" s="22">
        <f t="shared" si="31"/>
        <v>3.465173266205368E-2</v>
      </c>
      <c r="W36" s="22">
        <f t="shared" si="32"/>
        <v>3.1426105467143639E-2</v>
      </c>
    </row>
    <row r="37" spans="2:23" s="6" customFormat="1" outlineLevel="1" x14ac:dyDescent="0.15">
      <c r="B37" s="11">
        <v>2027</v>
      </c>
      <c r="C37" s="13">
        <f t="shared" si="33"/>
        <v>8.4317667052964396E-3</v>
      </c>
      <c r="D37" s="13">
        <f t="shared" si="33"/>
        <v>1.1130826186619869E-2</v>
      </c>
      <c r="E37" s="13">
        <f t="shared" si="33"/>
        <v>2.6764919258162045E-3</v>
      </c>
      <c r="F37" s="13">
        <f t="shared" si="33"/>
        <v>1.9756093189257751E-2</v>
      </c>
      <c r="G37" s="13">
        <f t="shared" si="33"/>
        <v>2.2485462138980505E-2</v>
      </c>
      <c r="H37" s="13">
        <f t="shared" si="33"/>
        <v>3.1106821015293828E-2</v>
      </c>
      <c r="J37" s="11">
        <v>2027</v>
      </c>
      <c r="K37" s="13">
        <f t="shared" si="26"/>
        <v>8.4420042455168876E-3</v>
      </c>
      <c r="L37" s="13">
        <f t="shared" si="26"/>
        <v>1.451585594156013E-2</v>
      </c>
      <c r="M37" s="13">
        <f t="shared" si="26"/>
        <v>6.0230054583929604E-3</v>
      </c>
      <c r="N37" s="13">
        <f t="shared" si="26"/>
        <v>1.998929779104186E-2</v>
      </c>
      <c r="O37" s="13">
        <f t="shared" si="26"/>
        <v>2.6132698899139717E-2</v>
      </c>
      <c r="P37" s="13">
        <f t="shared" si="26"/>
        <v>3.47953154997096E-2</v>
      </c>
      <c r="Q37" s="13"/>
      <c r="R37" s="22">
        <f t="shared" si="27"/>
        <v>-1.0237540220447983E-5</v>
      </c>
      <c r="S37" s="22">
        <f t="shared" si="28"/>
        <v>-3.3850297549402608E-3</v>
      </c>
      <c r="T37" s="22">
        <f t="shared" si="29"/>
        <v>-3.3465135325767559E-3</v>
      </c>
      <c r="U37" s="22">
        <f t="shared" si="30"/>
        <v>-2.332046017841094E-4</v>
      </c>
      <c r="V37" s="22">
        <f t="shared" si="31"/>
        <v>-3.6472367601592115E-3</v>
      </c>
      <c r="W37" s="22">
        <f t="shared" si="32"/>
        <v>-3.6884944844157719E-3</v>
      </c>
    </row>
    <row r="38" spans="2:23" s="6" customFormat="1" outlineLevel="1" x14ac:dyDescent="0.15">
      <c r="B38" s="11">
        <v>2028</v>
      </c>
      <c r="C38" s="13">
        <f t="shared" si="33"/>
        <v>1.2866757428009468E-2</v>
      </c>
      <c r="D38" s="13">
        <f t="shared" si="33"/>
        <v>1.6927454464373159E-2</v>
      </c>
      <c r="E38" s="13">
        <f t="shared" si="33"/>
        <v>4.0091127550430095E-3</v>
      </c>
      <c r="F38" s="13">
        <f t="shared" si="33"/>
        <v>2.1322572304172782E-2</v>
      </c>
      <c r="G38" s="13">
        <f t="shared" si="33"/>
        <v>2.5417169655810978E-2</v>
      </c>
      <c r="H38" s="13">
        <f t="shared" si="33"/>
        <v>3.8610963640288043E-2</v>
      </c>
      <c r="J38" s="11">
        <v>2028</v>
      </c>
      <c r="K38" s="13">
        <f t="shared" si="26"/>
        <v>5.0776413088957639E-3</v>
      </c>
      <c r="L38" s="13">
        <f t="shared" si="26"/>
        <v>1.6666856206736469E-2</v>
      </c>
      <c r="M38" s="13">
        <f t="shared" si="26"/>
        <v>1.1530666310264559E-2</v>
      </c>
      <c r="N38" s="13">
        <f t="shared" si="26"/>
        <v>2.1309889048563235E-2</v>
      </c>
      <c r="O38" s="13">
        <f t="shared" si="26"/>
        <v>3.3086272578555675E-2</v>
      </c>
      <c r="P38" s="13">
        <f t="shared" si="26"/>
        <v>3.833191411185366E-2</v>
      </c>
      <c r="Q38" s="13"/>
      <c r="R38" s="22">
        <f t="shared" si="27"/>
        <v>7.7891161191137037E-3</v>
      </c>
      <c r="S38" s="22">
        <f t="shared" si="28"/>
        <v>2.6059825763669053E-4</v>
      </c>
      <c r="T38" s="22">
        <f t="shared" si="29"/>
        <v>-7.5215535552215496E-3</v>
      </c>
      <c r="U38" s="22">
        <f t="shared" si="30"/>
        <v>1.2683255609546862E-5</v>
      </c>
      <c r="V38" s="22">
        <f t="shared" si="31"/>
        <v>-7.6691029227446972E-3</v>
      </c>
      <c r="W38" s="22">
        <f t="shared" si="32"/>
        <v>2.7904952843438302E-4</v>
      </c>
    </row>
    <row r="39" spans="2:23" s="6" customFormat="1" outlineLevel="1" x14ac:dyDescent="0.15">
      <c r="B39" s="11">
        <v>2029</v>
      </c>
      <c r="C39" s="13">
        <f t="shared" si="33"/>
        <v>3.9999999999988933E-3</v>
      </c>
      <c r="D39" s="13">
        <f t="shared" si="33"/>
        <v>2.3878188316101889E-2</v>
      </c>
      <c r="E39" s="13">
        <f t="shared" si="33"/>
        <v>1.9798992346716116E-2</v>
      </c>
      <c r="F39" s="13">
        <f t="shared" si="33"/>
        <v>1.3136742692534398E-2</v>
      </c>
      <c r="G39" s="13">
        <f t="shared" si="33"/>
        <v>3.3195829307280711E-2</v>
      </c>
      <c r="H39" s="13">
        <f t="shared" si="33"/>
        <v>3.7328612624508706E-2</v>
      </c>
      <c r="J39" s="11">
        <v>2029</v>
      </c>
      <c r="K39" s="13">
        <f t="shared" si="26"/>
        <v>3.9999999999995595E-3</v>
      </c>
      <c r="L39" s="13">
        <f t="shared" si="26"/>
        <v>2.3764136302374395E-2</v>
      </c>
      <c r="M39" s="13">
        <f t="shared" si="26"/>
        <v>1.9685394723481187E-2</v>
      </c>
      <c r="N39" s="13">
        <f t="shared" si="26"/>
        <v>1.3065502799109341E-2</v>
      </c>
      <c r="O39" s="13">
        <f t="shared" si="26"/>
        <v>3.3008097102451561E-2</v>
      </c>
      <c r="P39" s="13">
        <f t="shared" si="26"/>
        <v>3.7140129490860874E-2</v>
      </c>
      <c r="Q39" s="13"/>
      <c r="R39" s="22">
        <f t="shared" ref="R39" si="34">C39-K39</f>
        <v>-6.6613381477509392E-16</v>
      </c>
      <c r="S39" s="22">
        <f t="shared" ref="S39" si="35">D39-L39</f>
        <v>1.1405201372749474E-4</v>
      </c>
      <c r="T39" s="22">
        <f t="shared" ref="T39" si="36">E39-M39</f>
        <v>1.1359762323492895E-4</v>
      </c>
      <c r="U39" s="22">
        <f t="shared" ref="U39" si="37">F39-N39</f>
        <v>7.1239893425056877E-5</v>
      </c>
      <c r="V39" s="22">
        <f t="shared" ref="V39" si="38">G39-O39</f>
        <v>1.8773220482914965E-4</v>
      </c>
      <c r="W39" s="22">
        <f t="shared" ref="W39" si="39">H39-P39</f>
        <v>1.8848313364783209E-4</v>
      </c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41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D886-C47F-44C9-A8CE-26FD1ED4C185}">
  <dimension ref="B1:W50"/>
  <sheetViews>
    <sheetView zoomScale="150" zoomScaleNormal="150" workbookViewId="0">
      <selection activeCell="AJ93" sqref="AJ93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6" customFormat="1" ht="16" x14ac:dyDescent="0.2">
      <c r="B1" s="4" t="s">
        <v>39</v>
      </c>
    </row>
    <row r="2" spans="2:23" s="6" customFormat="1" ht="11.5" customHeight="1" x14ac:dyDescent="0.15">
      <c r="K2" s="28" t="s">
        <v>19</v>
      </c>
      <c r="L2" s="28"/>
      <c r="M2" s="28"/>
      <c r="N2" s="28"/>
      <c r="O2" s="28"/>
      <c r="P2" s="28"/>
      <c r="Q2" s="29"/>
      <c r="R2" s="28" t="s">
        <v>26</v>
      </c>
      <c r="S2" s="28"/>
      <c r="T2" s="28"/>
      <c r="U2" s="28"/>
      <c r="V2" s="28"/>
      <c r="W2" s="28"/>
    </row>
    <row r="3" spans="2:23" s="6" customFormat="1" ht="36" x14ac:dyDescent="0.15">
      <c r="B3" s="7"/>
      <c r="C3" s="8" t="s">
        <v>24</v>
      </c>
      <c r="D3" s="8" t="s">
        <v>25</v>
      </c>
      <c r="E3" s="8" t="s">
        <v>17</v>
      </c>
      <c r="F3" s="8" t="s">
        <v>20</v>
      </c>
      <c r="G3" s="8" t="s">
        <v>21</v>
      </c>
      <c r="H3" s="8" t="s">
        <v>18</v>
      </c>
      <c r="K3" s="8" t="s">
        <v>24</v>
      </c>
      <c r="L3" s="8" t="s">
        <v>25</v>
      </c>
      <c r="M3" s="8" t="s">
        <v>17</v>
      </c>
      <c r="N3" s="8" t="s">
        <v>20</v>
      </c>
      <c r="O3" s="8" t="s">
        <v>21</v>
      </c>
      <c r="P3" s="8" t="s">
        <v>18</v>
      </c>
      <c r="Q3" s="18"/>
      <c r="R3" s="8" t="s">
        <v>24</v>
      </c>
      <c r="S3" s="8" t="s">
        <v>25</v>
      </c>
      <c r="T3" s="8" t="s">
        <v>17</v>
      </c>
      <c r="U3" s="8" t="s">
        <v>20</v>
      </c>
      <c r="V3" s="8" t="s">
        <v>21</v>
      </c>
      <c r="W3" s="8" t="s">
        <v>18</v>
      </c>
    </row>
    <row r="4" spans="2:23" s="6" customFormat="1" ht="11.5" customHeight="1" x14ac:dyDescent="0.15">
      <c r="B4" s="9" t="s">
        <v>2</v>
      </c>
      <c r="C4" s="10"/>
      <c r="D4" s="10"/>
      <c r="E4" s="10"/>
      <c r="F4" s="10"/>
      <c r="G4" s="10"/>
      <c r="H4" s="10"/>
      <c r="J4" s="9" t="s">
        <v>2</v>
      </c>
      <c r="R4" s="19"/>
      <c r="S4" s="19"/>
      <c r="T4" s="19"/>
      <c r="U4" s="19"/>
      <c r="V4" s="19"/>
      <c r="W4" s="19"/>
    </row>
    <row r="5" spans="2:23" s="6" customFormat="1" hidden="1" outlineLevel="1" x14ac:dyDescent="0.15">
      <c r="B5" s="5"/>
      <c r="C5" s="12">
        <v>116134.41209985186</v>
      </c>
      <c r="D5" s="12">
        <v>0</v>
      </c>
      <c r="E5" s="13">
        <f t="shared" ref="E5:E9" si="0">D5/C5</f>
        <v>0</v>
      </c>
      <c r="F5" s="14" t="e">
        <v>#DIV/0!</v>
      </c>
      <c r="G5" s="14" t="e">
        <f t="shared" ref="G5:G9" si="1">(H5/365)/C5</f>
        <v>#DIV/0!</v>
      </c>
      <c r="H5" s="15" t="e">
        <f t="shared" ref="H5:H9" si="2">D5*F5*365</f>
        <v>#DIV/0!</v>
      </c>
      <c r="J5" s="5"/>
      <c r="K5" s="12">
        <v>116134.41209985186</v>
      </c>
      <c r="L5" s="12">
        <v>0</v>
      </c>
      <c r="M5" s="23">
        <v>0</v>
      </c>
      <c r="N5" s="14" t="e">
        <v>#DIV/0!</v>
      </c>
      <c r="O5" s="14" t="e">
        <v>#DIV/0!</v>
      </c>
      <c r="P5" s="15" t="e">
        <v>#DIV/0!</v>
      </c>
      <c r="Q5" s="12"/>
      <c r="R5" s="19"/>
      <c r="S5" s="19"/>
      <c r="T5" s="19"/>
      <c r="U5" s="19"/>
      <c r="V5" s="19"/>
      <c r="W5" s="19"/>
    </row>
    <row r="6" spans="2:23" s="6" customFormat="1" hidden="1" outlineLevel="1" x14ac:dyDescent="0.15">
      <c r="B6" s="5"/>
      <c r="C6" s="12">
        <v>116635.50641254608</v>
      </c>
      <c r="D6" s="12">
        <v>92233.283792465474</v>
      </c>
      <c r="E6" s="13">
        <f t="shared" si="0"/>
        <v>0.79078221228989543</v>
      </c>
      <c r="F6" s="14">
        <v>174.46002542368345</v>
      </c>
      <c r="G6" s="14">
        <f t="shared" si="1"/>
        <v>137.9598848606918</v>
      </c>
      <c r="H6" s="15">
        <f t="shared" si="2"/>
        <v>5873222677.9003181</v>
      </c>
      <c r="J6" s="5"/>
      <c r="K6" s="12">
        <v>116635.50641254608</v>
      </c>
      <c r="L6" s="12">
        <v>92233.283792465474</v>
      </c>
      <c r="M6" s="23">
        <v>0.79078221228989543</v>
      </c>
      <c r="N6" s="14">
        <v>174.46002542368345</v>
      </c>
      <c r="O6" s="14">
        <v>137.9598848606918</v>
      </c>
      <c r="P6" s="15">
        <v>5873222677.9003181</v>
      </c>
      <c r="Q6" s="12"/>
      <c r="R6" s="19"/>
      <c r="S6" s="19"/>
      <c r="T6" s="19"/>
      <c r="U6" s="19"/>
      <c r="V6" s="19"/>
      <c r="W6" s="19"/>
    </row>
    <row r="7" spans="2:23" s="6" customFormat="1" hidden="1" outlineLevel="1" x14ac:dyDescent="0.15">
      <c r="B7" s="5"/>
      <c r="C7" s="12">
        <v>117024.83333333333</v>
      </c>
      <c r="D7" s="12">
        <v>94175.76213841133</v>
      </c>
      <c r="E7" s="13">
        <f t="shared" si="0"/>
        <v>0.80475023510746013</v>
      </c>
      <c r="F7" s="14">
        <v>190.62858203789079</v>
      </c>
      <c r="G7" s="14">
        <f t="shared" si="1"/>
        <v>153.40839621319435</v>
      </c>
      <c r="H7" s="15">
        <f t="shared" si="2"/>
        <v>6552696079.5558071</v>
      </c>
      <c r="J7" s="5"/>
      <c r="K7" s="12">
        <v>117024.83333333333</v>
      </c>
      <c r="L7" s="12">
        <v>94175.76213841133</v>
      </c>
      <c r="M7" s="23">
        <v>0.80475023510746013</v>
      </c>
      <c r="N7" s="14">
        <v>190.62858203789079</v>
      </c>
      <c r="O7" s="14">
        <v>153.40839621319435</v>
      </c>
      <c r="P7" s="15">
        <v>6552696079.5558071</v>
      </c>
      <c r="Q7" s="12"/>
      <c r="R7" s="19"/>
      <c r="S7" s="19"/>
      <c r="T7" s="19"/>
      <c r="U7" s="19"/>
      <c r="V7" s="19"/>
      <c r="W7" s="19"/>
    </row>
    <row r="8" spans="2:23" s="6" customFormat="1" hidden="1" outlineLevel="1" x14ac:dyDescent="0.15">
      <c r="B8" s="5"/>
      <c r="C8" s="12">
        <v>117459.91666666667</v>
      </c>
      <c r="D8" s="12">
        <v>93835.119029522699</v>
      </c>
      <c r="E8" s="13">
        <f t="shared" si="0"/>
        <v>0.79886927977151945</v>
      </c>
      <c r="F8" s="14">
        <v>201.13449769207384</v>
      </c>
      <c r="G8" s="14">
        <f t="shared" si="1"/>
        <v>160.68017130847338</v>
      </c>
      <c r="H8" s="15">
        <f t="shared" si="2"/>
        <v>6888820029.1358376</v>
      </c>
      <c r="J8" s="5"/>
      <c r="K8" s="12">
        <v>117459.91666666667</v>
      </c>
      <c r="L8" s="12">
        <v>93835.119029522699</v>
      </c>
      <c r="M8" s="23">
        <v>0.79886927977151945</v>
      </c>
      <c r="N8" s="14">
        <v>201.13449769207384</v>
      </c>
      <c r="O8" s="14">
        <v>160.68017130847338</v>
      </c>
      <c r="P8" s="15">
        <v>6888820029.1358376</v>
      </c>
      <c r="Q8" s="12"/>
      <c r="R8" s="19"/>
      <c r="S8" s="19"/>
      <c r="T8" s="19"/>
      <c r="U8" s="19"/>
      <c r="V8" s="19"/>
      <c r="W8" s="19"/>
    </row>
    <row r="9" spans="2:23" s="6" customFormat="1" hidden="1" outlineLevel="1" x14ac:dyDescent="0.15">
      <c r="B9" s="5"/>
      <c r="C9" s="12">
        <v>118835</v>
      </c>
      <c r="D9" s="12">
        <v>94200.989154459923</v>
      </c>
      <c r="E9" s="13">
        <f t="shared" si="0"/>
        <v>0.79270407838145263</v>
      </c>
      <c r="F9" s="14">
        <v>202.09092546971405</v>
      </c>
      <c r="G9" s="14">
        <f t="shared" si="1"/>
        <v>160.19830082372451</v>
      </c>
      <c r="H9" s="15">
        <f t="shared" si="2"/>
        <v>6948565253.6113653</v>
      </c>
      <c r="J9" s="5"/>
      <c r="K9" s="12">
        <v>118835</v>
      </c>
      <c r="L9" s="12">
        <v>94200.989154459923</v>
      </c>
      <c r="M9" s="23">
        <v>0.79270407838145263</v>
      </c>
      <c r="N9" s="14">
        <v>202.09092546971405</v>
      </c>
      <c r="O9" s="14">
        <v>160.19830082372451</v>
      </c>
      <c r="P9" s="15">
        <v>6948565253.6113653</v>
      </c>
      <c r="Q9" s="12"/>
      <c r="R9" s="19"/>
      <c r="S9" s="21"/>
      <c r="T9" s="21"/>
      <c r="U9" s="21"/>
      <c r="V9" s="21"/>
      <c r="W9" s="21"/>
    </row>
    <row r="10" spans="2:23" s="6" customFormat="1" hidden="1" outlineLevel="1" x14ac:dyDescent="0.15">
      <c r="B10" s="5"/>
      <c r="C10" s="12">
        <v>120584.41666666667</v>
      </c>
      <c r="D10" s="12">
        <v>95277.771511776678</v>
      </c>
      <c r="E10" s="13">
        <f>D10/C10</f>
        <v>0.79013337001210082</v>
      </c>
      <c r="F10" s="14">
        <v>212.85980231368032</v>
      </c>
      <c r="G10" s="14">
        <f>(H10/365)/C10</f>
        <v>168.18763294221782</v>
      </c>
      <c r="H10" s="15">
        <f>D10*F10*365</f>
        <v>7402494777.2429466</v>
      </c>
      <c r="J10" s="5"/>
      <c r="K10" s="12">
        <v>120584.41666666667</v>
      </c>
      <c r="L10" s="12">
        <v>95277.771511776678</v>
      </c>
      <c r="M10" s="23">
        <v>0.79013337001210082</v>
      </c>
      <c r="N10" s="14">
        <v>212.85980231368032</v>
      </c>
      <c r="O10" s="14">
        <v>168.18763294221782</v>
      </c>
      <c r="P10" s="15">
        <v>7402494777.2429466</v>
      </c>
      <c r="Q10" s="12"/>
      <c r="R10" s="21"/>
      <c r="S10" s="21"/>
      <c r="T10" s="21"/>
      <c r="U10" s="21"/>
      <c r="V10" s="21"/>
      <c r="W10" s="21"/>
    </row>
    <row r="11" spans="2:23" s="6" customFormat="1" ht="10.25" customHeight="1" collapsed="1" x14ac:dyDescent="0.15">
      <c r="B11" s="11">
        <v>2019</v>
      </c>
      <c r="C11" s="12">
        <v>122527.33333333333</v>
      </c>
      <c r="D11" s="12">
        <v>96688.560561666673</v>
      </c>
      <c r="E11" s="13">
        <f t="shared" ref="E11:E15" si="3">D11/C11</f>
        <v>0.78911829655695875</v>
      </c>
      <c r="F11" s="14">
        <v>214.63032751478133</v>
      </c>
      <c r="G11" s="14">
        <f t="shared" ref="G11:G15" si="4">(H11/365)/C11</f>
        <v>169.36871843792642</v>
      </c>
      <c r="H11" s="15">
        <f t="shared" ref="H11:H15" si="5">D11*F11*365</f>
        <v>7574588558.4034004</v>
      </c>
      <c r="J11" s="11">
        <v>2019</v>
      </c>
      <c r="K11" s="12">
        <v>122527.33333333333</v>
      </c>
      <c r="L11" s="12">
        <v>96688.560561666673</v>
      </c>
      <c r="M11" s="23">
        <v>0.78911829655695875</v>
      </c>
      <c r="N11" s="14">
        <v>214.63032751478133</v>
      </c>
      <c r="O11" s="14">
        <v>169.36871843792642</v>
      </c>
      <c r="P11" s="15">
        <v>7574588558.4034004</v>
      </c>
      <c r="Q11" s="12"/>
      <c r="R11" s="25"/>
      <c r="S11" s="25"/>
      <c r="T11" s="24"/>
      <c r="U11" s="26"/>
      <c r="V11" s="26"/>
      <c r="W11" s="27"/>
    </row>
    <row r="12" spans="2:23" s="6" customFormat="1" ht="10.25" customHeight="1" x14ac:dyDescent="0.15">
      <c r="B12" s="11">
        <v>2020</v>
      </c>
      <c r="C12" s="12">
        <v>108734.08333333333</v>
      </c>
      <c r="D12" s="12">
        <v>47800.624278750001</v>
      </c>
      <c r="E12" s="13">
        <f t="shared" si="3"/>
        <v>0.4396103118119204</v>
      </c>
      <c r="F12" s="14">
        <v>151.07307554504075</v>
      </c>
      <c r="G12" s="14">
        <f t="shared" si="4"/>
        <v>66.413281846741171</v>
      </c>
      <c r="H12" s="15">
        <f t="shared" si="5"/>
        <v>2635806372.8087535</v>
      </c>
      <c r="J12" s="11">
        <v>2020</v>
      </c>
      <c r="K12" s="12">
        <v>108734.08333333333</v>
      </c>
      <c r="L12" s="12">
        <v>47800.624278750001</v>
      </c>
      <c r="M12" s="23">
        <v>0.4396103118119204</v>
      </c>
      <c r="N12" s="14">
        <v>151.07307554504075</v>
      </c>
      <c r="O12" s="14">
        <v>66.413281846741171</v>
      </c>
      <c r="P12" s="15">
        <v>2635806372.8087535</v>
      </c>
      <c r="Q12" s="12"/>
      <c r="R12" s="25"/>
      <c r="S12" s="25"/>
      <c r="T12" s="24"/>
      <c r="U12" s="26"/>
      <c r="V12" s="26"/>
      <c r="W12" s="27"/>
    </row>
    <row r="13" spans="2:23" s="6" customFormat="1" ht="10.25" customHeight="1" x14ac:dyDescent="0.15">
      <c r="B13" s="11">
        <v>2021</v>
      </c>
      <c r="C13" s="12">
        <v>116988.75000000001</v>
      </c>
      <c r="D13" s="12">
        <v>60971.030204914838</v>
      </c>
      <c r="E13" s="13">
        <f t="shared" si="3"/>
        <v>0.52117002878409102</v>
      </c>
      <c r="F13" s="14">
        <v>150.56546539817026</v>
      </c>
      <c r="G13" s="14">
        <f t="shared" si="4"/>
        <v>78.470207935454468</v>
      </c>
      <c r="H13" s="15">
        <f t="shared" si="5"/>
        <v>3350748011.5922484</v>
      </c>
      <c r="J13" s="11">
        <v>2021</v>
      </c>
      <c r="K13" s="12">
        <v>116988.75000000001</v>
      </c>
      <c r="L13" s="12">
        <v>60971.030204914838</v>
      </c>
      <c r="M13" s="23">
        <v>0.52117002878409102</v>
      </c>
      <c r="N13" s="14">
        <v>150.56546539817026</v>
      </c>
      <c r="O13" s="14">
        <v>78.470207935454468</v>
      </c>
      <c r="P13" s="15">
        <v>3350748011.5922484</v>
      </c>
      <c r="Q13" s="12"/>
      <c r="R13" s="25"/>
      <c r="S13" s="25"/>
      <c r="T13" s="24"/>
      <c r="U13" s="26"/>
      <c r="V13" s="26"/>
      <c r="W13" s="27"/>
    </row>
    <row r="14" spans="2:23" s="6" customFormat="1" ht="10.25" customHeight="1" outlineLevel="1" x14ac:dyDescent="0.15">
      <c r="B14" s="11">
        <v>2022</v>
      </c>
      <c r="C14" s="12">
        <v>126071.25</v>
      </c>
      <c r="D14" s="12">
        <v>80613.010599078261</v>
      </c>
      <c r="E14" s="13">
        <f t="shared" si="3"/>
        <v>0.63942421923379245</v>
      </c>
      <c r="F14" s="14">
        <v>192.82824566167844</v>
      </c>
      <c r="G14" s="14">
        <f t="shared" si="4"/>
        <v>123.29905042844067</v>
      </c>
      <c r="H14" s="15">
        <f t="shared" si="5"/>
        <v>5673729875.1341906</v>
      </c>
      <c r="J14" s="11">
        <v>2022</v>
      </c>
      <c r="K14" s="12">
        <v>126071.25</v>
      </c>
      <c r="L14" s="12">
        <v>80613.010599078261</v>
      </c>
      <c r="M14" s="23">
        <v>0.63942421923379245</v>
      </c>
      <c r="N14" s="14">
        <v>192.82824566167844</v>
      </c>
      <c r="O14" s="14">
        <v>123.29905042844067</v>
      </c>
      <c r="P14" s="15">
        <v>5673729875.1341906</v>
      </c>
      <c r="Q14" s="12"/>
      <c r="R14" s="25"/>
      <c r="S14" s="25"/>
      <c r="T14" s="24"/>
      <c r="U14" s="26"/>
      <c r="V14" s="26"/>
      <c r="W14" s="27"/>
    </row>
    <row r="15" spans="2:23" s="6" customFormat="1" ht="10.25" customHeight="1" outlineLevel="1" x14ac:dyDescent="0.15">
      <c r="B15" s="11">
        <v>2023</v>
      </c>
      <c r="C15" s="12">
        <v>129314.5</v>
      </c>
      <c r="D15" s="12">
        <v>82953.567857585454</v>
      </c>
      <c r="E15" s="13">
        <f t="shared" si="3"/>
        <v>0.64148697831709089</v>
      </c>
      <c r="F15" s="14">
        <v>205.12427960360353</v>
      </c>
      <c r="G15" s="14">
        <f t="shared" si="4"/>
        <v>131.5845543023857</v>
      </c>
      <c r="H15" s="15">
        <f t="shared" si="5"/>
        <v>6210763659.2775879</v>
      </c>
      <c r="J15" s="11">
        <v>2023</v>
      </c>
      <c r="K15" s="12">
        <v>129314.5</v>
      </c>
      <c r="L15" s="12">
        <v>82953.567857585454</v>
      </c>
      <c r="M15" s="23">
        <v>0.64148697831709089</v>
      </c>
      <c r="N15" s="14">
        <v>205.12427960360353</v>
      </c>
      <c r="O15" s="14">
        <v>131.5845543023857</v>
      </c>
      <c r="P15" s="15">
        <v>6210763659.2775879</v>
      </c>
      <c r="Q15" s="12"/>
      <c r="R15" s="25"/>
      <c r="S15" s="25"/>
      <c r="T15" s="24"/>
      <c r="U15" s="26"/>
      <c r="V15" s="26"/>
      <c r="W15" s="27"/>
    </row>
    <row r="16" spans="2:23" s="6" customFormat="1" ht="10.25" customHeight="1" outlineLevel="1" x14ac:dyDescent="0.15">
      <c r="B16" s="11">
        <v>2024</v>
      </c>
      <c r="C16" s="12">
        <v>129756</v>
      </c>
      <c r="D16" s="12">
        <v>84026.192588325663</v>
      </c>
      <c r="E16" s="13">
        <f t="shared" ref="E16:E18" si="6">D16/C16</f>
        <v>0.64757076812113246</v>
      </c>
      <c r="F16" s="14">
        <v>195.81768660626867</v>
      </c>
      <c r="G16" s="14">
        <f t="shared" ref="G16:G18" si="7">(H16/365)/C16</f>
        <v>126.8058097273246</v>
      </c>
      <c r="H16" s="15">
        <f t="shared" ref="H16:H18" si="8">D16*F16*365</f>
        <v>6005642346.1472368</v>
      </c>
      <c r="J16" s="11">
        <v>2024</v>
      </c>
      <c r="K16" s="12">
        <v>129756</v>
      </c>
      <c r="L16" s="12">
        <v>84026.192588325663</v>
      </c>
      <c r="M16" s="23">
        <v>0.64757076812113246</v>
      </c>
      <c r="N16" s="14">
        <v>195.81768660626867</v>
      </c>
      <c r="O16" s="14">
        <v>126.8058097273246</v>
      </c>
      <c r="P16" s="15">
        <v>6005642346.1472368</v>
      </c>
      <c r="Q16" s="12"/>
      <c r="R16" s="25"/>
      <c r="S16" s="25"/>
      <c r="T16" s="24"/>
      <c r="U16" s="26"/>
      <c r="V16" s="26"/>
      <c r="W16" s="27"/>
    </row>
    <row r="17" spans="2:23" s="6" customFormat="1" ht="10.25" customHeight="1" outlineLevel="1" x14ac:dyDescent="0.15">
      <c r="B17" s="11">
        <v>2025</v>
      </c>
      <c r="C17" s="12">
        <v>129691.58333333333</v>
      </c>
      <c r="D17" s="12">
        <v>86316.53831635417</v>
      </c>
      <c r="E17" s="13">
        <f t="shared" si="6"/>
        <v>0.66555235195566542</v>
      </c>
      <c r="F17" s="14">
        <v>203.07187775660742</v>
      </c>
      <c r="G17" s="14">
        <f t="shared" si="7"/>
        <v>135.15496585696343</v>
      </c>
      <c r="H17" s="15">
        <f t="shared" si="8"/>
        <v>6397888453.8335505</v>
      </c>
      <c r="J17" s="11">
        <v>2025</v>
      </c>
      <c r="K17" s="12">
        <v>129691.58333333333</v>
      </c>
      <c r="L17" s="12">
        <v>86316.53831635417</v>
      </c>
      <c r="M17" s="23">
        <v>0.66555235195566542</v>
      </c>
      <c r="N17" s="14">
        <v>203.07187775660742</v>
      </c>
      <c r="O17" s="14">
        <v>135.15496585696343</v>
      </c>
      <c r="P17" s="15">
        <v>6397888453.8335505</v>
      </c>
      <c r="Q17" s="12"/>
      <c r="R17" s="25">
        <f t="shared" ref="R17:W20" si="9">C17-K17</f>
        <v>0</v>
      </c>
      <c r="S17" s="25">
        <f t="shared" si="9"/>
        <v>0</v>
      </c>
      <c r="T17" s="24">
        <f t="shared" si="9"/>
        <v>0</v>
      </c>
      <c r="U17" s="26">
        <f t="shared" si="9"/>
        <v>0</v>
      </c>
      <c r="V17" s="26">
        <f t="shared" si="9"/>
        <v>0</v>
      </c>
      <c r="W17" s="27">
        <f t="shared" si="9"/>
        <v>0</v>
      </c>
    </row>
    <row r="18" spans="2:23" s="6" customFormat="1" outlineLevel="1" x14ac:dyDescent="0.15">
      <c r="B18" s="11">
        <v>2026</v>
      </c>
      <c r="C18" s="12">
        <v>128561.20833333333</v>
      </c>
      <c r="D18" s="12">
        <v>88200.099951300552</v>
      </c>
      <c r="E18" s="13">
        <f t="shared" si="6"/>
        <v>0.68605531244397966</v>
      </c>
      <c r="F18" s="14">
        <v>212.97217423858916</v>
      </c>
      <c r="G18" s="14">
        <f t="shared" si="7"/>
        <v>146.11069153912894</v>
      </c>
      <c r="H18" s="15">
        <f t="shared" si="8"/>
        <v>6856220974.9616156</v>
      </c>
      <c r="J18" s="11">
        <v>2026</v>
      </c>
      <c r="K18" s="12">
        <v>130360.15833333333</v>
      </c>
      <c r="L18" s="12">
        <v>87374.411334912729</v>
      </c>
      <c r="M18" s="23">
        <v>0.67025395221977835</v>
      </c>
      <c r="N18" s="14">
        <v>212.97622210704938</v>
      </c>
      <c r="O18" s="14">
        <v>142.74815459608715</v>
      </c>
      <c r="P18" s="15">
        <v>6792165292.7520285</v>
      </c>
      <c r="Q18" s="12"/>
      <c r="R18" s="25">
        <f t="shared" si="9"/>
        <v>-1798.9499999999971</v>
      </c>
      <c r="S18" s="25">
        <f t="shared" si="9"/>
        <v>825.68861638782255</v>
      </c>
      <c r="T18" s="24">
        <f t="shared" si="9"/>
        <v>1.5801360224201311E-2</v>
      </c>
      <c r="U18" s="26">
        <f t="shared" si="9"/>
        <v>-4.0478684602192061E-3</v>
      </c>
      <c r="V18" s="26">
        <f t="shared" si="9"/>
        <v>3.3625369430417891</v>
      </c>
      <c r="W18" s="27">
        <f t="shared" si="9"/>
        <v>64055682.209587097</v>
      </c>
    </row>
    <row r="19" spans="2:23" s="6" customFormat="1" outlineLevel="1" x14ac:dyDescent="0.15">
      <c r="B19" s="11">
        <v>2027</v>
      </c>
      <c r="C19" s="12">
        <v>129482.17499999999</v>
      </c>
      <c r="D19" s="12">
        <v>87715.039434483479</v>
      </c>
      <c r="E19" s="13">
        <f t="shared" ref="E19" si="10">D19/C19</f>
        <v>0.67742945648297526</v>
      </c>
      <c r="F19" s="14">
        <v>208.47564855024578</v>
      </c>
      <c r="G19" s="14">
        <f t="shared" ref="G19" si="11">(H19/365)/C19</f>
        <v>141.22754528732878</v>
      </c>
      <c r="H19" s="15">
        <f t="shared" ref="H19" si="12">D19*F19*365</f>
        <v>6674554152.8057299</v>
      </c>
      <c r="J19" s="11">
        <v>2027</v>
      </c>
      <c r="K19" s="12">
        <v>131664.74166666667</v>
      </c>
      <c r="L19" s="12">
        <v>88321.260958336032</v>
      </c>
      <c r="M19" s="23">
        <v>0.67080419435248217</v>
      </c>
      <c r="N19" s="14">
        <v>209.07934648995177</v>
      </c>
      <c r="O19" s="14">
        <v>140.25130257793558</v>
      </c>
      <c r="P19" s="15">
        <v>6740145305.6531467</v>
      </c>
      <c r="Q19" s="12"/>
      <c r="R19" s="25">
        <f t="shared" si="9"/>
        <v>-2182.5666666666802</v>
      </c>
      <c r="S19" s="25">
        <f t="shared" si="9"/>
        <v>-606.22152385255322</v>
      </c>
      <c r="T19" s="24">
        <f t="shared" si="9"/>
        <v>6.6252621304930814E-3</v>
      </c>
      <c r="U19" s="26">
        <f t="shared" si="9"/>
        <v>-0.60369793970599517</v>
      </c>
      <c r="V19" s="26">
        <f t="shared" si="9"/>
        <v>0.97624270939320468</v>
      </c>
      <c r="W19" s="27">
        <f t="shared" si="9"/>
        <v>-65591152.847416878</v>
      </c>
    </row>
    <row r="20" spans="2:23" s="6" customFormat="1" outlineLevel="1" x14ac:dyDescent="0.15">
      <c r="B20" s="11">
        <v>2028</v>
      </c>
      <c r="C20" s="12">
        <v>130633.54166666664</v>
      </c>
      <c r="D20" s="12">
        <v>89090.288313594516</v>
      </c>
      <c r="E20" s="13">
        <f t="shared" ref="E20" si="13">D20/C20</f>
        <v>0.6819863197227195</v>
      </c>
      <c r="F20" s="14">
        <v>213.01482903316156</v>
      </c>
      <c r="G20" s="14">
        <f t="shared" ref="G20" si="14">(H20/365)/C20</f>
        <v>145.27319929869014</v>
      </c>
      <c r="H20" s="15">
        <f t="shared" ref="H20" si="15">D20*F20*365</f>
        <v>6926806674.7769241</v>
      </c>
      <c r="J20" s="11">
        <v>2028</v>
      </c>
      <c r="K20" s="12">
        <v>132394.02231823115</v>
      </c>
      <c r="L20" s="12">
        <v>89597.479126537219</v>
      </c>
      <c r="M20" s="23">
        <v>0.67674867458271426</v>
      </c>
      <c r="N20" s="14">
        <v>213.38714574912373</v>
      </c>
      <c r="O20" s="14">
        <v>144.40946805870794</v>
      </c>
      <c r="P20" s="15">
        <v>6978416873.0518904</v>
      </c>
      <c r="Q20" s="12"/>
      <c r="R20" s="25">
        <f t="shared" si="9"/>
        <v>-1760.4806515645032</v>
      </c>
      <c r="S20" s="25">
        <f t="shared" si="9"/>
        <v>-507.19081294270291</v>
      </c>
      <c r="T20" s="24">
        <f t="shared" si="9"/>
        <v>5.2376451400052426E-3</v>
      </c>
      <c r="U20" s="26">
        <f t="shared" si="9"/>
        <v>-0.37231671596217097</v>
      </c>
      <c r="V20" s="26">
        <f t="shared" si="9"/>
        <v>0.8637312399822008</v>
      </c>
      <c r="W20" s="27">
        <f t="shared" si="9"/>
        <v>-51610198.27496624</v>
      </c>
    </row>
    <row r="21" spans="2:23" s="6" customFormat="1" outlineLevel="1" x14ac:dyDescent="0.15">
      <c r="B21" s="11">
        <v>2029</v>
      </c>
      <c r="C21" s="12">
        <v>131286.70937499998</v>
      </c>
      <c r="D21" s="12">
        <v>90645.895160654225</v>
      </c>
      <c r="E21" s="13">
        <f t="shared" ref="E21" si="16">D21/C21</f>
        <v>0.69044228156970855</v>
      </c>
      <c r="F21" s="14">
        <v>218.48236520849306</v>
      </c>
      <c r="G21" s="14">
        <f t="shared" ref="G21" si="17">(H21/365)/C21</f>
        <v>150.84946271729825</v>
      </c>
      <c r="H21" s="15">
        <f t="shared" ref="H21" si="18">D21*F21*365</f>
        <v>7228653293.466403</v>
      </c>
      <c r="J21" s="11">
        <v>2029</v>
      </c>
      <c r="K21" s="12">
        <v>133055.9924298223</v>
      </c>
      <c r="L21" s="12">
        <v>90982.468975478027</v>
      </c>
      <c r="M21" s="23">
        <v>0.68379084108868593</v>
      </c>
      <c r="N21" s="14">
        <v>217.97886728379703</v>
      </c>
      <c r="O21" s="14">
        <v>149.05195299954661</v>
      </c>
      <c r="P21" s="15">
        <v>7238773268.4346352</v>
      </c>
      <c r="Q21" s="12"/>
      <c r="R21" s="25">
        <f t="shared" ref="R21" si="19">C21-K21</f>
        <v>-1769.2830548223283</v>
      </c>
      <c r="S21" s="25">
        <f t="shared" ref="S21" si="20">D21-L21</f>
        <v>-336.57381482380151</v>
      </c>
      <c r="T21" s="24">
        <f t="shared" ref="T21" si="21">E21-M21</f>
        <v>6.6514404810226191E-3</v>
      </c>
      <c r="U21" s="26">
        <f t="shared" ref="U21" si="22">F21-N21</f>
        <v>0.50349792469603472</v>
      </c>
      <c r="V21" s="26">
        <f t="shared" ref="V21" si="23">G21-O21</f>
        <v>1.7975097177516375</v>
      </c>
      <c r="W21" s="27">
        <f t="shared" ref="W21" si="24">H21-P21</f>
        <v>-10119974.968232155</v>
      </c>
    </row>
    <row r="22" spans="2:23" s="6" customFormat="1" x14ac:dyDescent="0.15">
      <c r="B22" s="5"/>
      <c r="J22" s="5"/>
    </row>
    <row r="23" spans="2:23" s="6" customFormat="1" ht="12" x14ac:dyDescent="0.15">
      <c r="B23" s="9" t="s">
        <v>3</v>
      </c>
      <c r="J23" s="9" t="s">
        <v>3</v>
      </c>
    </row>
    <row r="24" spans="2:23" s="6" customFormat="1" hidden="1" outlineLevel="1" x14ac:dyDescent="0.15">
      <c r="B24" s="5"/>
      <c r="C24" s="13">
        <f t="shared" ref="C24:H33" si="25">C6/C5-1</f>
        <v>4.3147789155153493E-3</v>
      </c>
      <c r="D24" s="13" t="e">
        <f t="shared" si="25"/>
        <v>#DIV/0!</v>
      </c>
      <c r="E24" s="13" t="e">
        <f t="shared" si="25"/>
        <v>#DIV/0!</v>
      </c>
      <c r="F24" s="13" t="e">
        <f t="shared" si="25"/>
        <v>#DIV/0!</v>
      </c>
      <c r="G24" s="13" t="e">
        <f t="shared" si="25"/>
        <v>#DIV/0!</v>
      </c>
      <c r="H24" s="13" t="e">
        <f t="shared" si="25"/>
        <v>#DIV/0!</v>
      </c>
      <c r="J24" s="5"/>
      <c r="K24" s="20"/>
      <c r="L24" s="20"/>
      <c r="M24" s="20"/>
      <c r="N24" s="20"/>
      <c r="O24" s="20"/>
      <c r="P24" s="20"/>
      <c r="Q24" s="20"/>
    </row>
    <row r="25" spans="2:23" s="6" customFormat="1" hidden="1" outlineLevel="1" x14ac:dyDescent="0.15">
      <c r="B25" s="5"/>
      <c r="C25" s="13">
        <f t="shared" si="25"/>
        <v>3.3379794263521667E-3</v>
      </c>
      <c r="D25" s="13">
        <f t="shared" si="25"/>
        <v>2.1060492113851526E-2</v>
      </c>
      <c r="E25" s="13">
        <f t="shared" si="25"/>
        <v>1.7663552113946768E-2</v>
      </c>
      <c r="F25" s="13">
        <f t="shared" si="25"/>
        <v>9.2677715568029617E-2</v>
      </c>
      <c r="G25" s="13">
        <f t="shared" si="25"/>
        <v>0.11197828534071363</v>
      </c>
      <c r="H25" s="13">
        <f t="shared" si="25"/>
        <v>0.11569004597973143</v>
      </c>
      <c r="J25" s="5"/>
      <c r="K25" s="20"/>
      <c r="L25" s="20"/>
      <c r="M25" s="20"/>
      <c r="N25" s="20"/>
      <c r="O25" s="20"/>
      <c r="P25" s="20"/>
      <c r="Q25" s="20"/>
    </row>
    <row r="26" spans="2:23" s="6" customFormat="1" hidden="1" outlineLevel="1" x14ac:dyDescent="0.15">
      <c r="B26" s="5"/>
      <c r="C26" s="13">
        <f t="shared" si="25"/>
        <v>3.7178718477133277E-3</v>
      </c>
      <c r="D26" s="13">
        <f t="shared" si="25"/>
        <v>-3.6170995716284793E-3</v>
      </c>
      <c r="E26" s="13">
        <f t="shared" si="25"/>
        <v>-7.3078019482099021E-3</v>
      </c>
      <c r="F26" s="13">
        <f t="shared" si="25"/>
        <v>5.5111964543149261E-2</v>
      </c>
      <c r="G26" s="13">
        <f t="shared" si="25"/>
        <v>4.7401415273081282E-2</v>
      </c>
      <c r="H26" s="13">
        <f t="shared" si="25"/>
        <v>5.1295519508180121E-2</v>
      </c>
      <c r="J26" s="5"/>
      <c r="K26" s="20"/>
      <c r="L26" s="20"/>
      <c r="M26" s="20"/>
      <c r="N26" s="20"/>
      <c r="O26" s="20"/>
      <c r="P26" s="20"/>
      <c r="Q26" s="20"/>
    </row>
    <row r="27" spans="2:23" s="6" customFormat="1" hidden="1" outlineLevel="1" x14ac:dyDescent="0.15">
      <c r="B27" s="5"/>
      <c r="C27" s="13">
        <f t="shared" si="25"/>
        <v>1.1706830486144515E-2</v>
      </c>
      <c r="D27" s="13">
        <f t="shared" si="25"/>
        <v>3.8990745546143568E-3</v>
      </c>
      <c r="E27" s="13">
        <f t="shared" si="25"/>
        <v>-7.7174095264122E-3</v>
      </c>
      <c r="F27" s="13">
        <f t="shared" si="25"/>
        <v>4.7551652680906109E-3</v>
      </c>
      <c r="G27" s="13">
        <f t="shared" si="25"/>
        <v>-2.9989418160613068E-3</v>
      </c>
      <c r="H27" s="13">
        <f t="shared" si="25"/>
        <v>8.6727805666049207E-3</v>
      </c>
      <c r="J27" s="5"/>
      <c r="K27" s="20"/>
      <c r="L27" s="20"/>
      <c r="M27" s="20"/>
      <c r="N27" s="20"/>
      <c r="O27" s="20"/>
      <c r="P27" s="20"/>
      <c r="Q27" s="20"/>
    </row>
    <row r="28" spans="2:23" s="6" customFormat="1" hidden="1" outlineLevel="1" x14ac:dyDescent="0.15">
      <c r="B28" s="5"/>
      <c r="C28" s="13">
        <f t="shared" si="25"/>
        <v>1.4721392406838563E-2</v>
      </c>
      <c r="D28" s="13">
        <f t="shared" si="25"/>
        <v>1.1430690558367429E-2</v>
      </c>
      <c r="E28" s="13">
        <f t="shared" si="25"/>
        <v>-3.2429609477987453E-3</v>
      </c>
      <c r="F28" s="13">
        <f t="shared" si="25"/>
        <v>5.3287285507434223E-2</v>
      </c>
      <c r="G28" s="13">
        <f t="shared" si="25"/>
        <v>4.9871515973720859E-2</v>
      </c>
      <c r="H28" s="13">
        <f t="shared" si="25"/>
        <v>6.5327086537132484E-2</v>
      </c>
      <c r="J28" s="5"/>
      <c r="K28" s="20"/>
      <c r="L28" s="20"/>
      <c r="M28" s="20"/>
      <c r="N28" s="20"/>
      <c r="O28" s="20"/>
      <c r="P28" s="20"/>
      <c r="Q28" s="20"/>
    </row>
    <row r="29" spans="2:23" s="6" customFormat="1" collapsed="1" x14ac:dyDescent="0.15">
      <c r="B29" s="11">
        <f>B11</f>
        <v>2019</v>
      </c>
      <c r="C29" s="13">
        <f t="shared" si="25"/>
        <v>1.6112502099151715E-2</v>
      </c>
      <c r="D29" s="13">
        <f t="shared" si="25"/>
        <v>1.4807116366230444E-2</v>
      </c>
      <c r="E29" s="13">
        <f t="shared" si="25"/>
        <v>-1.2846862234492384E-3</v>
      </c>
      <c r="F29" s="13">
        <f t="shared" si="25"/>
        <v>8.3177997059862285E-3</v>
      </c>
      <c r="G29" s="13">
        <f t="shared" si="25"/>
        <v>7.0224277198454033E-3</v>
      </c>
      <c r="H29" s="13">
        <f t="shared" si="25"/>
        <v>2.3248078700374375E-2</v>
      </c>
      <c r="J29" s="11">
        <v>2019</v>
      </c>
      <c r="K29" s="13">
        <f t="shared" ref="K29:P39" si="26">K11/K10-1</f>
        <v>1.6112502099151715E-2</v>
      </c>
      <c r="L29" s="13">
        <f t="shared" si="26"/>
        <v>1.4807116366230444E-2</v>
      </c>
      <c r="M29" s="13">
        <f t="shared" si="26"/>
        <v>-1.2846862234492384E-3</v>
      </c>
      <c r="N29" s="13">
        <f t="shared" si="26"/>
        <v>8.3177997059862285E-3</v>
      </c>
      <c r="O29" s="13">
        <f t="shared" si="26"/>
        <v>7.0224277198454033E-3</v>
      </c>
      <c r="P29" s="13">
        <f t="shared" si="26"/>
        <v>2.3248078700374375E-2</v>
      </c>
      <c r="Q29" s="13"/>
      <c r="R29" s="22">
        <f t="shared" ref="R29:R38" si="27">C29-K29</f>
        <v>0</v>
      </c>
      <c r="S29" s="22">
        <f t="shared" ref="S29:S38" si="28">D29-L29</f>
        <v>0</v>
      </c>
      <c r="T29" s="22">
        <f t="shared" ref="T29:T38" si="29">E29-M29</f>
        <v>0</v>
      </c>
      <c r="U29" s="22">
        <f t="shared" ref="U29:U38" si="30">F29-N29</f>
        <v>0</v>
      </c>
      <c r="V29" s="22">
        <f t="shared" ref="V29:V38" si="31">G29-O29</f>
        <v>0</v>
      </c>
      <c r="W29" s="22">
        <f t="shared" ref="W29:W38" si="32">H29-P29</f>
        <v>0</v>
      </c>
    </row>
    <row r="30" spans="2:23" s="6" customFormat="1" x14ac:dyDescent="0.15">
      <c r="B30" s="11">
        <f>B12</f>
        <v>2020</v>
      </c>
      <c r="C30" s="13">
        <f t="shared" si="25"/>
        <v>-0.11257284088992392</v>
      </c>
      <c r="D30" s="13">
        <f t="shared" si="25"/>
        <v>-0.50562275411822477</v>
      </c>
      <c r="E30" s="13">
        <f t="shared" si="25"/>
        <v>-0.44290949312668837</v>
      </c>
      <c r="F30" s="13">
        <f t="shared" si="25"/>
        <v>-0.29612428357946508</v>
      </c>
      <c r="G30" s="13">
        <f t="shared" si="25"/>
        <v>-0.60787752036346898</v>
      </c>
      <c r="H30" s="13">
        <f t="shared" si="25"/>
        <v>-0.65201986187295446</v>
      </c>
      <c r="J30" s="11">
        <v>2020</v>
      </c>
      <c r="K30" s="13">
        <f t="shared" si="26"/>
        <v>-0.11257284088992392</v>
      </c>
      <c r="L30" s="13">
        <f t="shared" si="26"/>
        <v>-0.50562275411822477</v>
      </c>
      <c r="M30" s="13">
        <f t="shared" si="26"/>
        <v>-0.44290949312668837</v>
      </c>
      <c r="N30" s="13">
        <f t="shared" si="26"/>
        <v>-0.29612428357946508</v>
      </c>
      <c r="O30" s="13">
        <f t="shared" si="26"/>
        <v>-0.60787752036346898</v>
      </c>
      <c r="P30" s="13">
        <f t="shared" si="26"/>
        <v>-0.65201986187295446</v>
      </c>
      <c r="Q30" s="13"/>
      <c r="R30" s="22">
        <f t="shared" si="27"/>
        <v>0</v>
      </c>
      <c r="S30" s="22">
        <f t="shared" si="28"/>
        <v>0</v>
      </c>
      <c r="T30" s="22">
        <f t="shared" si="29"/>
        <v>0</v>
      </c>
      <c r="U30" s="22">
        <f t="shared" si="30"/>
        <v>0</v>
      </c>
      <c r="V30" s="22">
        <f t="shared" si="31"/>
        <v>0</v>
      </c>
      <c r="W30" s="22">
        <f t="shared" si="32"/>
        <v>0</v>
      </c>
    </row>
    <row r="31" spans="2:23" s="6" customFormat="1" x14ac:dyDescent="0.15">
      <c r="B31" s="11">
        <f>B13</f>
        <v>2021</v>
      </c>
      <c r="C31" s="13">
        <f t="shared" si="25"/>
        <v>7.5916091933762031E-2</v>
      </c>
      <c r="D31" s="13">
        <f t="shared" si="25"/>
        <v>0.27552790627506107</v>
      </c>
      <c r="E31" s="13">
        <f t="shared" si="25"/>
        <v>0.18552730630000447</v>
      </c>
      <c r="F31" s="13">
        <f t="shared" si="25"/>
        <v>-3.3600305351508819E-3</v>
      </c>
      <c r="G31" s="13">
        <f t="shared" si="25"/>
        <v>0.18154389835058149</v>
      </c>
      <c r="H31" s="13">
        <f t="shared" si="25"/>
        <v>0.27124209356153983</v>
      </c>
      <c r="J31" s="11">
        <v>2021</v>
      </c>
      <c r="K31" s="13">
        <f t="shared" si="26"/>
        <v>7.5916091933762031E-2</v>
      </c>
      <c r="L31" s="13">
        <f t="shared" si="26"/>
        <v>0.27552790627506107</v>
      </c>
      <c r="M31" s="13">
        <f t="shared" si="26"/>
        <v>0.18552730630000447</v>
      </c>
      <c r="N31" s="13">
        <f t="shared" si="26"/>
        <v>-3.3600305351508819E-3</v>
      </c>
      <c r="O31" s="13">
        <f t="shared" si="26"/>
        <v>0.18154389835058149</v>
      </c>
      <c r="P31" s="13">
        <f t="shared" si="26"/>
        <v>0.27124209356153983</v>
      </c>
      <c r="Q31" s="13"/>
      <c r="R31" s="22">
        <f t="shared" si="27"/>
        <v>0</v>
      </c>
      <c r="S31" s="22">
        <f t="shared" si="28"/>
        <v>0</v>
      </c>
      <c r="T31" s="22">
        <f t="shared" si="29"/>
        <v>0</v>
      </c>
      <c r="U31" s="22">
        <f t="shared" si="30"/>
        <v>0</v>
      </c>
      <c r="V31" s="22">
        <f t="shared" si="31"/>
        <v>0</v>
      </c>
      <c r="W31" s="22">
        <f t="shared" si="32"/>
        <v>0</v>
      </c>
    </row>
    <row r="32" spans="2:23" s="6" customFormat="1" outlineLevel="1" x14ac:dyDescent="0.15">
      <c r="B32" s="11">
        <f>B14</f>
        <v>2022</v>
      </c>
      <c r="C32" s="13">
        <f t="shared" si="25"/>
        <v>7.7635670096483533E-2</v>
      </c>
      <c r="D32" s="13">
        <f t="shared" si="25"/>
        <v>0.32215267362466338</v>
      </c>
      <c r="E32" s="13">
        <f t="shared" si="25"/>
        <v>0.22690136408187711</v>
      </c>
      <c r="F32" s="13">
        <f t="shared" si="25"/>
        <v>0.28069371785717445</v>
      </c>
      <c r="G32" s="13">
        <f t="shared" si="25"/>
        <v>0.57128486941005785</v>
      </c>
      <c r="H32" s="13">
        <f t="shared" si="25"/>
        <v>0.69327262315917326</v>
      </c>
      <c r="J32" s="11">
        <v>2022</v>
      </c>
      <c r="K32" s="13">
        <f t="shared" si="26"/>
        <v>7.7635670096483533E-2</v>
      </c>
      <c r="L32" s="13">
        <f t="shared" si="26"/>
        <v>0.32215267362466338</v>
      </c>
      <c r="M32" s="13">
        <f t="shared" si="26"/>
        <v>0.22690136408187711</v>
      </c>
      <c r="N32" s="13">
        <f t="shared" si="26"/>
        <v>0.28069371785717445</v>
      </c>
      <c r="O32" s="13">
        <f t="shared" si="26"/>
        <v>0.57128486941005785</v>
      </c>
      <c r="P32" s="13">
        <f t="shared" si="26"/>
        <v>0.69327262315917326</v>
      </c>
      <c r="Q32" s="13"/>
      <c r="R32" s="22">
        <f t="shared" si="27"/>
        <v>0</v>
      </c>
      <c r="S32" s="22">
        <f t="shared" si="28"/>
        <v>0</v>
      </c>
      <c r="T32" s="22">
        <f t="shared" si="29"/>
        <v>0</v>
      </c>
      <c r="U32" s="22">
        <f t="shared" si="30"/>
        <v>0</v>
      </c>
      <c r="V32" s="22">
        <f t="shared" si="31"/>
        <v>0</v>
      </c>
      <c r="W32" s="22">
        <f t="shared" si="32"/>
        <v>0</v>
      </c>
    </row>
    <row r="33" spans="2:23" s="6" customFormat="1" outlineLevel="1" x14ac:dyDescent="0.15">
      <c r="B33" s="11">
        <v>2023</v>
      </c>
      <c r="C33" s="13">
        <f t="shared" si="25"/>
        <v>2.5725532189138978E-2</v>
      </c>
      <c r="D33" s="13">
        <f t="shared" si="25"/>
        <v>2.9034485142203081E-2</v>
      </c>
      <c r="E33" s="13">
        <f t="shared" si="25"/>
        <v>3.2259633295876888E-3</v>
      </c>
      <c r="F33" s="13">
        <f t="shared" si="25"/>
        <v>6.3766767673127944E-2</v>
      </c>
      <c r="G33" s="13">
        <f t="shared" si="25"/>
        <v>6.7198440256875269E-2</v>
      </c>
      <c r="H33" s="13">
        <f t="shared" si="25"/>
        <v>9.4652688083902703E-2</v>
      </c>
      <c r="J33" s="11">
        <v>2023</v>
      </c>
      <c r="K33" s="13">
        <f t="shared" si="26"/>
        <v>2.5725532189138978E-2</v>
      </c>
      <c r="L33" s="13">
        <f t="shared" si="26"/>
        <v>2.9034485142203081E-2</v>
      </c>
      <c r="M33" s="13">
        <f t="shared" si="26"/>
        <v>3.2259633295876888E-3</v>
      </c>
      <c r="N33" s="13">
        <f t="shared" si="26"/>
        <v>6.3766767673127944E-2</v>
      </c>
      <c r="O33" s="13">
        <f t="shared" si="26"/>
        <v>6.7198440256875269E-2</v>
      </c>
      <c r="P33" s="13">
        <f t="shared" si="26"/>
        <v>9.4652688083902703E-2</v>
      </c>
      <c r="Q33" s="13"/>
      <c r="R33" s="22">
        <f t="shared" si="27"/>
        <v>0</v>
      </c>
      <c r="S33" s="22">
        <f t="shared" si="28"/>
        <v>0</v>
      </c>
      <c r="T33" s="22">
        <f t="shared" si="29"/>
        <v>0</v>
      </c>
      <c r="U33" s="22">
        <f t="shared" si="30"/>
        <v>0</v>
      </c>
      <c r="V33" s="22">
        <f t="shared" si="31"/>
        <v>0</v>
      </c>
      <c r="W33" s="22">
        <f t="shared" si="32"/>
        <v>0</v>
      </c>
    </row>
    <row r="34" spans="2:23" s="6" customFormat="1" outlineLevel="1" x14ac:dyDescent="0.15">
      <c r="B34" s="11">
        <v>2024</v>
      </c>
      <c r="C34" s="13">
        <f t="shared" ref="C34:H39" si="33">C16/C15-1</f>
        <v>3.4141569584231757E-3</v>
      </c>
      <c r="D34" s="13">
        <f t="shared" si="33"/>
        <v>1.2930423108282518E-2</v>
      </c>
      <c r="E34" s="13">
        <f t="shared" si="33"/>
        <v>9.4838866721849158E-3</v>
      </c>
      <c r="F34" s="13">
        <f t="shared" si="33"/>
        <v>-4.5370509114374791E-2</v>
      </c>
      <c r="G34" s="13">
        <f t="shared" si="33"/>
        <v>-3.6316911208889913E-2</v>
      </c>
      <c r="H34" s="13">
        <f t="shared" si="33"/>
        <v>-3.302674588557919E-2</v>
      </c>
      <c r="J34" s="11">
        <v>2024</v>
      </c>
      <c r="K34" s="13">
        <f t="shared" si="26"/>
        <v>3.4141569584231757E-3</v>
      </c>
      <c r="L34" s="13">
        <f t="shared" si="26"/>
        <v>1.2930423108282518E-2</v>
      </c>
      <c r="M34" s="13">
        <f t="shared" si="26"/>
        <v>9.4838866721849158E-3</v>
      </c>
      <c r="N34" s="13">
        <f t="shared" si="26"/>
        <v>-4.5370509114374791E-2</v>
      </c>
      <c r="O34" s="13">
        <f t="shared" si="26"/>
        <v>-3.6316911208889913E-2</v>
      </c>
      <c r="P34" s="13">
        <f t="shared" si="26"/>
        <v>-3.302674588557919E-2</v>
      </c>
      <c r="Q34" s="13"/>
      <c r="R34" s="22">
        <f t="shared" si="27"/>
        <v>0</v>
      </c>
      <c r="S34" s="22">
        <f t="shared" si="28"/>
        <v>0</v>
      </c>
      <c r="T34" s="22">
        <f t="shared" si="29"/>
        <v>0</v>
      </c>
      <c r="U34" s="22">
        <f t="shared" si="30"/>
        <v>0</v>
      </c>
      <c r="V34" s="22">
        <f t="shared" si="31"/>
        <v>0</v>
      </c>
      <c r="W34" s="22">
        <f t="shared" si="32"/>
        <v>0</v>
      </c>
    </row>
    <row r="35" spans="2:23" s="6" customFormat="1" outlineLevel="1" x14ac:dyDescent="0.15">
      <c r="B35" s="11">
        <v>2025</v>
      </c>
      <c r="C35" s="13">
        <f t="shared" si="33"/>
        <v>-4.9644460885567288E-4</v>
      </c>
      <c r="D35" s="13">
        <f t="shared" si="33"/>
        <v>2.7257521226145887E-2</v>
      </c>
      <c r="E35" s="13">
        <f t="shared" si="33"/>
        <v>2.7767750985278283E-2</v>
      </c>
      <c r="F35" s="13">
        <f t="shared" si="33"/>
        <v>3.704563809358441E-2</v>
      </c>
      <c r="G35" s="13">
        <f t="shared" si="33"/>
        <v>6.5842063132535822E-2</v>
      </c>
      <c r="H35" s="13">
        <f t="shared" si="33"/>
        <v>6.5312931586402057E-2</v>
      </c>
      <c r="J35" s="11">
        <v>2025</v>
      </c>
      <c r="K35" s="13">
        <f t="shared" si="26"/>
        <v>-4.9644460885567288E-4</v>
      </c>
      <c r="L35" s="13">
        <f t="shared" si="26"/>
        <v>2.7257521226145887E-2</v>
      </c>
      <c r="M35" s="13">
        <f t="shared" si="26"/>
        <v>2.7767750985278283E-2</v>
      </c>
      <c r="N35" s="13">
        <f t="shared" si="26"/>
        <v>3.704563809358441E-2</v>
      </c>
      <c r="O35" s="13">
        <f t="shared" si="26"/>
        <v>6.5842063132535822E-2</v>
      </c>
      <c r="P35" s="13">
        <f t="shared" si="26"/>
        <v>6.5312931586402057E-2</v>
      </c>
      <c r="Q35" s="13"/>
      <c r="R35" s="22">
        <f t="shared" si="27"/>
        <v>0</v>
      </c>
      <c r="S35" s="22">
        <f t="shared" si="28"/>
        <v>0</v>
      </c>
      <c r="T35" s="22">
        <f t="shared" si="29"/>
        <v>0</v>
      </c>
      <c r="U35" s="22">
        <f t="shared" si="30"/>
        <v>0</v>
      </c>
      <c r="V35" s="22">
        <f t="shared" si="31"/>
        <v>0</v>
      </c>
      <c r="W35" s="22">
        <f t="shared" si="32"/>
        <v>0</v>
      </c>
    </row>
    <row r="36" spans="2:23" s="6" customFormat="1" outlineLevel="1" x14ac:dyDescent="0.15">
      <c r="B36" s="11">
        <v>2026</v>
      </c>
      <c r="C36" s="13">
        <f t="shared" si="33"/>
        <v>-8.7158701509156833E-3</v>
      </c>
      <c r="D36" s="13">
        <f t="shared" si="33"/>
        <v>2.1821561333275952E-2</v>
      </c>
      <c r="E36" s="13">
        <f t="shared" si="33"/>
        <v>3.0805931987270663E-2</v>
      </c>
      <c r="F36" s="13">
        <f t="shared" si="33"/>
        <v>4.8752671179058016E-2</v>
      </c>
      <c r="G36" s="13">
        <f t="shared" si="33"/>
        <v>8.1060474638868341E-2</v>
      </c>
      <c r="H36" s="13">
        <f t="shared" si="33"/>
        <v>7.1638091916628621E-2</v>
      </c>
      <c r="J36" s="11">
        <v>2026</v>
      </c>
      <c r="K36" s="13">
        <f t="shared" si="26"/>
        <v>5.1551147947790366E-3</v>
      </c>
      <c r="L36" s="13">
        <f t="shared" si="26"/>
        <v>1.2255739620620654E-2</v>
      </c>
      <c r="M36" s="13">
        <f t="shared" si="26"/>
        <v>7.0642080225511439E-3</v>
      </c>
      <c r="N36" s="13">
        <f t="shared" si="26"/>
        <v>4.8772604359885063E-2</v>
      </c>
      <c r="O36" s="13">
        <f t="shared" si="26"/>
        <v>5.6181352205435742E-2</v>
      </c>
      <c r="P36" s="13">
        <f t="shared" si="26"/>
        <v>6.1626088320160033E-2</v>
      </c>
      <c r="Q36" s="13"/>
      <c r="R36" s="22">
        <f t="shared" si="27"/>
        <v>-1.387098494569472E-2</v>
      </c>
      <c r="S36" s="22">
        <f t="shared" si="28"/>
        <v>9.565821712655298E-3</v>
      </c>
      <c r="T36" s="22">
        <f t="shared" si="29"/>
        <v>2.3741723964719519E-2</v>
      </c>
      <c r="U36" s="22">
        <f t="shared" si="30"/>
        <v>-1.9933180827047536E-5</v>
      </c>
      <c r="V36" s="22">
        <f t="shared" si="31"/>
        <v>2.4879122433432599E-2</v>
      </c>
      <c r="W36" s="22">
        <f t="shared" si="32"/>
        <v>1.0012003596468588E-2</v>
      </c>
    </row>
    <row r="37" spans="2:23" s="6" customFormat="1" outlineLevel="1" x14ac:dyDescent="0.15">
      <c r="B37" s="11">
        <v>2027</v>
      </c>
      <c r="C37" s="13">
        <f t="shared" si="33"/>
        <v>7.1636435174036173E-3</v>
      </c>
      <c r="D37" s="13">
        <f t="shared" si="33"/>
        <v>-5.4995461125882938E-3</v>
      </c>
      <c r="E37" s="13">
        <f t="shared" si="33"/>
        <v>-1.257312027841595E-2</v>
      </c>
      <c r="F37" s="13">
        <f t="shared" si="33"/>
        <v>-2.1113207415096369E-2</v>
      </c>
      <c r="G37" s="13">
        <f t="shared" si="33"/>
        <v>-3.342086879721895E-2</v>
      </c>
      <c r="H37" s="13">
        <f t="shared" si="33"/>
        <v>-2.6496640469920507E-2</v>
      </c>
      <c r="J37" s="11">
        <v>2027</v>
      </c>
      <c r="K37" s="13">
        <f t="shared" si="26"/>
        <v>1.0007531058665142E-2</v>
      </c>
      <c r="L37" s="13">
        <f t="shared" si="26"/>
        <v>1.0836692447562912E-2</v>
      </c>
      <c r="M37" s="13">
        <f t="shared" si="26"/>
        <v>8.2094574881885762E-4</v>
      </c>
      <c r="N37" s="13">
        <f t="shared" si="26"/>
        <v>-1.8297233271134417E-2</v>
      </c>
      <c r="O37" s="13">
        <f t="shared" si="26"/>
        <v>-1.7491308558184371E-2</v>
      </c>
      <c r="P37" s="13">
        <f t="shared" si="26"/>
        <v>-7.6588223131720534E-3</v>
      </c>
      <c r="Q37" s="13"/>
      <c r="R37" s="22">
        <f t="shared" si="27"/>
        <v>-2.843887541261525E-3</v>
      </c>
      <c r="S37" s="22">
        <f t="shared" si="28"/>
        <v>-1.6336238560151206E-2</v>
      </c>
      <c r="T37" s="22">
        <f t="shared" si="29"/>
        <v>-1.3394066027234808E-2</v>
      </c>
      <c r="U37" s="22">
        <f t="shared" si="30"/>
        <v>-2.8159741439619523E-3</v>
      </c>
      <c r="V37" s="22">
        <f t="shared" si="31"/>
        <v>-1.5929560239034579E-2</v>
      </c>
      <c r="W37" s="22">
        <f t="shared" si="32"/>
        <v>-1.8837818156748454E-2</v>
      </c>
    </row>
    <row r="38" spans="2:23" s="6" customFormat="1" outlineLevel="1" x14ac:dyDescent="0.15">
      <c r="B38" s="11">
        <v>2028</v>
      </c>
      <c r="C38" s="13">
        <f t="shared" si="33"/>
        <v>8.8920862401844492E-3</v>
      </c>
      <c r="D38" s="13">
        <f t="shared" si="33"/>
        <v>1.5678598424825996E-2</v>
      </c>
      <c r="E38" s="13">
        <f t="shared" si="33"/>
        <v>6.72669780762436E-3</v>
      </c>
      <c r="F38" s="13">
        <f t="shared" si="33"/>
        <v>2.1773192766069149E-2</v>
      </c>
      <c r="G38" s="13">
        <f t="shared" si="33"/>
        <v>2.8646352261737951E-2</v>
      </c>
      <c r="H38" s="13">
        <f t="shared" si="33"/>
        <v>3.7793164336700658E-2</v>
      </c>
      <c r="J38" s="11">
        <v>2028</v>
      </c>
      <c r="K38" s="13">
        <f t="shared" si="26"/>
        <v>5.5389213720615782E-3</v>
      </c>
      <c r="L38" s="13">
        <f t="shared" si="26"/>
        <v>1.444972766866659E-2</v>
      </c>
      <c r="M38" s="13">
        <f t="shared" si="26"/>
        <v>8.8617219156927884E-3</v>
      </c>
      <c r="N38" s="13">
        <f t="shared" si="26"/>
        <v>2.0603657565856137E-2</v>
      </c>
      <c r="O38" s="13">
        <f t="shared" si="26"/>
        <v>2.9647963365343699E-2</v>
      </c>
      <c r="P38" s="13">
        <f t="shared" si="26"/>
        <v>3.5351102475327689E-2</v>
      </c>
      <c r="Q38" s="13"/>
      <c r="R38" s="22">
        <f t="shared" si="27"/>
        <v>3.353164868122871E-3</v>
      </c>
      <c r="S38" s="22">
        <f t="shared" si="28"/>
        <v>1.2288707561594059E-3</v>
      </c>
      <c r="T38" s="22">
        <f t="shared" si="29"/>
        <v>-2.1350241080684285E-3</v>
      </c>
      <c r="U38" s="22">
        <f t="shared" si="30"/>
        <v>1.1695352002130122E-3</v>
      </c>
      <c r="V38" s="22">
        <f t="shared" si="31"/>
        <v>-1.0016111036057485E-3</v>
      </c>
      <c r="W38" s="22">
        <f t="shared" si="32"/>
        <v>2.4420618613729683E-3</v>
      </c>
    </row>
    <row r="39" spans="2:23" s="6" customFormat="1" outlineLevel="1" x14ac:dyDescent="0.15">
      <c r="B39" s="11">
        <v>2029</v>
      </c>
      <c r="C39" s="13">
        <f t="shared" si="33"/>
        <v>5.0000000000001155E-3</v>
      </c>
      <c r="D39" s="13">
        <f t="shared" si="33"/>
        <v>1.7461014848038525E-2</v>
      </c>
      <c r="E39" s="13">
        <f t="shared" si="33"/>
        <v>1.2399019749292028E-2</v>
      </c>
      <c r="F39" s="13">
        <f t="shared" si="33"/>
        <v>2.5667396960801891E-2</v>
      </c>
      <c r="G39" s="13">
        <f t="shared" si="33"/>
        <v>3.8384667271923911E-2</v>
      </c>
      <c r="H39" s="13">
        <f t="shared" si="33"/>
        <v>4.357659060828345E-2</v>
      </c>
      <c r="J39" s="11">
        <v>2029</v>
      </c>
      <c r="K39" s="13">
        <f t="shared" si="26"/>
        <v>5.0000000000001155E-3</v>
      </c>
      <c r="L39" s="13">
        <f t="shared" si="26"/>
        <v>1.545791089707782E-2</v>
      </c>
      <c r="M39" s="13">
        <f t="shared" si="26"/>
        <v>1.0405881489629731E-2</v>
      </c>
      <c r="N39" s="13">
        <f t="shared" si="26"/>
        <v>2.151826680352964E-2</v>
      </c>
      <c r="O39" s="13">
        <f t="shared" si="26"/>
        <v>3.2148064827379086E-2</v>
      </c>
      <c r="P39" s="13">
        <f t="shared" si="26"/>
        <v>3.7308805151516022E-2</v>
      </c>
      <c r="Q39" s="13"/>
      <c r="R39" s="22">
        <f t="shared" ref="R39" si="34">C39-K39</f>
        <v>0</v>
      </c>
      <c r="S39" s="22">
        <f t="shared" ref="S39" si="35">D39-L39</f>
        <v>2.0031039509607051E-3</v>
      </c>
      <c r="T39" s="22">
        <f t="shared" ref="T39" si="36">E39-M39</f>
        <v>1.9931382596622971E-3</v>
      </c>
      <c r="U39" s="22">
        <f t="shared" ref="U39" si="37">F39-N39</f>
        <v>4.1491301572722517E-3</v>
      </c>
      <c r="V39" s="22">
        <f t="shared" ref="V39" si="38">G39-O39</f>
        <v>6.2366024445448254E-3</v>
      </c>
      <c r="W39" s="22">
        <f t="shared" ref="W39" si="39">H39-P39</f>
        <v>6.2677854567674274E-3</v>
      </c>
    </row>
    <row r="40" spans="2:23" s="6" customFormat="1" ht="5" customHeight="1" x14ac:dyDescent="0.1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2:23" s="6" customFormat="1" x14ac:dyDescent="0.15">
      <c r="B41" s="6" t="s">
        <v>41</v>
      </c>
    </row>
    <row r="49" spans="12:17" x14ac:dyDescent="0.15">
      <c r="L49" s="3"/>
      <c r="N49" s="3"/>
      <c r="P49" s="3"/>
      <c r="Q49" s="3"/>
    </row>
    <row r="50" spans="12:17" x14ac:dyDescent="0.15">
      <c r="L50" s="3"/>
      <c r="N50" s="3"/>
      <c r="P50" s="2"/>
      <c r="Q50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19fd31-555f-41cc-81cb-53143828dccc">
      <Terms xmlns="http://schemas.microsoft.com/office/infopath/2007/PartnerControls"/>
    </lcf76f155ced4ddcb4097134ff3c332f>
    <test xmlns="5519fd31-555f-41cc-81cb-53143828dccc" xsi:nil="true"/>
    <TaxCatchAll xmlns="4ca831f6-cca9-43ff-9fb4-19bcfc8d4d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71DF87BFC81940914A3AA11E484764" ma:contentTypeVersion="14" ma:contentTypeDescription="Create a new document." ma:contentTypeScope="" ma:versionID="2a2a994f05e2302f3f38acf9d136d6bd">
  <xsd:schema xmlns:xsd="http://www.w3.org/2001/XMLSchema" xmlns:xs="http://www.w3.org/2001/XMLSchema" xmlns:p="http://schemas.microsoft.com/office/2006/metadata/properties" xmlns:ns2="5519fd31-555f-41cc-81cb-53143828dccc" xmlns:ns3="4ca831f6-cca9-43ff-9fb4-19bcfc8d4d95" targetNamespace="http://schemas.microsoft.com/office/2006/metadata/properties" ma:root="true" ma:fieldsID="054dcfbb40a55c2d90d9bb9520514cb6" ns2:_="" ns3:_="">
    <xsd:import namespace="5519fd31-555f-41cc-81cb-53143828dccc"/>
    <xsd:import namespace="4ca831f6-cca9-43ff-9fb4-19bcfc8d4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t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9fd31-555f-41cc-81cb-53143828dc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948b6bc-314d-408e-b346-5eed8cc7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test" ma:index="21" nillable="true" ma:displayName="test" ma:format="Dropdown" ma:internalName="test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831f6-cca9-43ff-9fb4-19bcfc8d4d9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c31d755-b3c0-41d6-97bb-9e4891aaecb1}" ma:internalName="TaxCatchAll" ma:showField="CatchAllData" ma:web="4ca831f6-cca9-43ff-9fb4-19bcfc8d4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1E9C4B-69BA-40A5-9405-06BBA549EE54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4ca831f6-cca9-43ff-9fb4-19bcfc8d4d95"/>
    <ds:schemaRef ds:uri="http://purl.org/dc/elements/1.1/"/>
    <ds:schemaRef ds:uri="5519fd31-555f-41cc-81cb-53143828dccc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C8F1F6B-5974-4282-A61F-BAF6578774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21E1B5-8EC6-481E-B980-3254930CA2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19fd31-555f-41cc-81cb-53143828dccc"/>
    <ds:schemaRef ds:uri="4ca831f6-cca9-43ff-9fb4-19bcfc8d4d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California</vt:lpstr>
      <vt:lpstr>Gateway</vt:lpstr>
      <vt:lpstr>All Other Regions</vt:lpstr>
      <vt:lpstr>Central Coast</vt:lpstr>
      <vt:lpstr>Central Valley</vt:lpstr>
      <vt:lpstr>Deserts</vt:lpstr>
      <vt:lpstr>Gold Country</vt:lpstr>
      <vt:lpstr>High Siera</vt:lpstr>
      <vt:lpstr>Inland Empire</vt:lpstr>
      <vt:lpstr>Los Angeles</vt:lpstr>
      <vt:lpstr>North Coast</vt:lpstr>
      <vt:lpstr>Orange County</vt:lpstr>
      <vt:lpstr>Shasta Cascade</vt:lpstr>
      <vt:lpstr>San Diego</vt:lpstr>
      <vt:lpstr>San Francisco Bay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Emina Cardamone</dc:creator>
  <cp:lastModifiedBy>Ani Chibukhchyan</cp:lastModifiedBy>
  <cp:lastPrinted>2026-01-26T15:50:43Z</cp:lastPrinted>
  <dcterms:created xsi:type="dcterms:W3CDTF">2020-09-18T18:20:07Z</dcterms:created>
  <dcterms:modified xsi:type="dcterms:W3CDTF">2026-05-12T18:43:51Z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2024-01-09T15:25:40Z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90da245f-8e7f-4759-918a-1cef3b4dc320</vt:lpwstr>
  </property>
  <property fmtid="{D5CDD505-2E9C-101B-9397-08002B2CF9AE}" pid="8" name="MSIP_Label_231f5784-19ed-4d1e-9a93-4ea41014d730_ContentBits">
    <vt:lpwstr>0</vt:lpwstr>
  </property>
  <property fmtid="{D5CDD505-2E9C-101B-9397-08002B2CF9AE}" pid="9" name="ContentTypeId">
    <vt:lpwstr>0x0101002A71DF87BFC81940914A3AA11E484764</vt:lpwstr>
  </property>
</Properties>
</file>