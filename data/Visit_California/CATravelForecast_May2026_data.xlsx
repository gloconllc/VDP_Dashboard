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sitcalifornia.sharepoint.com/sites/Research/Shared Documents/!RESEARCH/VENDORS/TOURISM ECONOMICS/VISITATION &amp; SPENDING/F25-26/26-05 (MAY)/!FINAL/"/>
    </mc:Choice>
  </mc:AlternateContent>
  <xr:revisionPtr revIDLastSave="209" documentId="8_{91DC6CA7-64DB-435B-A213-2D369758D869}" xr6:coauthVersionLast="47" xr6:coauthVersionMax="47" xr10:uidLastSave="{6006C2C7-59E5-6545-BA24-61C5824BCA6D}"/>
  <bookViews>
    <workbookView xWindow="35740" yWindow="600" windowWidth="27340" windowHeight="22380" xr2:uid="{17F485C6-2442-4916-A64E-0683E2669D46}"/>
  </bookViews>
  <sheets>
    <sheet name="tbl_report" sheetId="1" r:id="rId1"/>
    <sheet name="compare" sheetId="2" r:id="rId2"/>
  </sheets>
  <definedNames>
    <definedName name="_DLX1.USE" localSheetId="0">#REF!</definedName>
    <definedName name="_DLX1.USE">#REF!</definedName>
    <definedName name="_dlx10.use" localSheetId="0">#REF!</definedName>
    <definedName name="_dlx10.use">#REF!</definedName>
    <definedName name="cur_scenario">#REF!</definedName>
    <definedName name="Data">#REF!</definedName>
    <definedName name="DLX1.USE">#REF!</definedName>
    <definedName name="FIPSCode">#REF!</definedName>
    <definedName name="Focus_Year">#REF!</definedName>
    <definedName name="location">#REF!</definedName>
    <definedName name="model_columns">#REF!</definedName>
    <definedName name="model_data">#REF!</definedName>
    <definedName name="model_rows">#REF!</definedName>
    <definedName name="scn_columns">#REF!</definedName>
    <definedName name="scn_data">#REF!</definedName>
    <definedName name="scn_rows">#REF!</definedName>
    <definedName name="variable">#REF!</definedName>
    <definedName name="var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54" i="2" l="1"/>
  <c r="AK154" i="2"/>
  <c r="AG154" i="2"/>
  <c r="AE154" i="2"/>
  <c r="AD154" i="2"/>
  <c r="AC154" i="2"/>
  <c r="AB154" i="2"/>
  <c r="AA154" i="2"/>
  <c r="Z154" i="2"/>
  <c r="AU154" i="2"/>
  <c r="AT154" i="2"/>
  <c r="AO154" i="2"/>
  <c r="AU153" i="2"/>
  <c r="AT153" i="2"/>
  <c r="AS153" i="2"/>
  <c r="AQ153" i="2"/>
  <c r="AP153" i="2"/>
  <c r="AO153" i="2"/>
  <c r="AK153" i="2"/>
  <c r="AI153" i="2"/>
  <c r="AG153" i="2"/>
  <c r="AE153" i="2"/>
  <c r="AD153" i="2"/>
  <c r="AC153" i="2"/>
  <c r="AB153" i="2"/>
  <c r="AA153" i="2"/>
  <c r="Z153" i="2"/>
  <c r="P153" i="2"/>
  <c r="O153" i="2"/>
  <c r="N153" i="2"/>
  <c r="L153" i="2"/>
  <c r="AM153" i="2"/>
  <c r="AL153" i="2"/>
  <c r="AH153" i="2"/>
  <c r="AM150" i="2"/>
  <c r="AL150" i="2"/>
  <c r="AK150" i="2"/>
  <c r="AJ150" i="2"/>
  <c r="AI150" i="2"/>
  <c r="AH150" i="2"/>
  <c r="AG150" i="2"/>
  <c r="AE150" i="2"/>
  <c r="AD150" i="2"/>
  <c r="AC150" i="2"/>
  <c r="AB150" i="2"/>
  <c r="AA150" i="2"/>
  <c r="Z150" i="2"/>
  <c r="AU150" i="2"/>
  <c r="M150" i="2"/>
  <c r="AO150" i="2"/>
  <c r="AU149" i="2"/>
  <c r="AR149" i="2"/>
  <c r="AP149" i="2"/>
  <c r="AM149" i="2"/>
  <c r="AK149" i="2"/>
  <c r="AJ149" i="2"/>
  <c r="AE149" i="2"/>
  <c r="AD149" i="2"/>
  <c r="AC149" i="2"/>
  <c r="AB149" i="2"/>
  <c r="AA149" i="2"/>
  <c r="Z149" i="2"/>
  <c r="P149" i="2"/>
  <c r="AT149" i="2"/>
  <c r="AS149" i="2"/>
  <c r="AH149" i="2"/>
  <c r="AS148" i="2"/>
  <c r="AR148" i="2"/>
  <c r="AP148" i="2"/>
  <c r="AM148" i="2"/>
  <c r="AJ148" i="2"/>
  <c r="AH148" i="2"/>
  <c r="AE148" i="2"/>
  <c r="AD148" i="2"/>
  <c r="AC148" i="2"/>
  <c r="AB148" i="2"/>
  <c r="AA148" i="2"/>
  <c r="Z148" i="2"/>
  <c r="O148" i="2"/>
  <c r="N148" i="2"/>
  <c r="AL148" i="2"/>
  <c r="AK148" i="2"/>
  <c r="AL147" i="2"/>
  <c r="AK147" i="2"/>
  <c r="AJ147" i="2"/>
  <c r="AI147" i="2"/>
  <c r="AH147" i="2"/>
  <c r="AE147" i="2"/>
  <c r="AD147" i="2"/>
  <c r="AC147" i="2"/>
  <c r="AB147" i="2"/>
  <c r="AA147" i="2"/>
  <c r="Z147" i="2"/>
  <c r="AT147" i="2"/>
  <c r="L147" i="2"/>
  <c r="AO147" i="2"/>
  <c r="AU146" i="2"/>
  <c r="AT146" i="2"/>
  <c r="AQ146" i="2"/>
  <c r="AO146" i="2"/>
  <c r="AL146" i="2"/>
  <c r="AJ146" i="2"/>
  <c r="AI146" i="2"/>
  <c r="AE146" i="2"/>
  <c r="AD146" i="2"/>
  <c r="AC146" i="2"/>
  <c r="AB146" i="2"/>
  <c r="AA146" i="2"/>
  <c r="Z146" i="2"/>
  <c r="P146" i="2"/>
  <c r="O146" i="2"/>
  <c r="AM146" i="2"/>
  <c r="AS146" i="2"/>
  <c r="AR146" i="2"/>
  <c r="AG146" i="2"/>
  <c r="AS145" i="2"/>
  <c r="AR145" i="2"/>
  <c r="AQ145" i="2"/>
  <c r="AO145" i="2"/>
  <c r="AI145" i="2"/>
  <c r="AG145" i="2"/>
  <c r="AE145" i="2"/>
  <c r="AD145" i="2"/>
  <c r="AC145" i="2"/>
  <c r="AB145" i="2"/>
  <c r="AA145" i="2"/>
  <c r="Z145" i="2"/>
  <c r="M145" i="2"/>
  <c r="L145" i="2"/>
  <c r="K145" i="2"/>
  <c r="AJ145" i="2"/>
  <c r="AH145" i="2"/>
  <c r="AU144" i="2"/>
  <c r="AO144" i="2"/>
  <c r="AK144" i="2"/>
  <c r="AI144" i="2"/>
  <c r="AH144" i="2"/>
  <c r="AG144" i="2"/>
  <c r="AE144" i="2"/>
  <c r="AD144" i="2"/>
  <c r="AC144" i="2"/>
  <c r="AB144" i="2"/>
  <c r="AA144" i="2"/>
  <c r="Z144" i="2"/>
  <c r="P144" i="2"/>
  <c r="AM144" i="2"/>
  <c r="AS144" i="2"/>
  <c r="AU143" i="2"/>
  <c r="AT143" i="2"/>
  <c r="AS143" i="2"/>
  <c r="AP143" i="2"/>
  <c r="AM143" i="2"/>
  <c r="AK143" i="2"/>
  <c r="AH143" i="2"/>
  <c r="AG143" i="2"/>
  <c r="AE143" i="2"/>
  <c r="AD143" i="2"/>
  <c r="AC143" i="2"/>
  <c r="AB143" i="2"/>
  <c r="AA143" i="2"/>
  <c r="Z143" i="2"/>
  <c r="O143" i="2"/>
  <c r="N143" i="2"/>
  <c r="AL143" i="2"/>
  <c r="AR143" i="2"/>
  <c r="AQ143" i="2"/>
  <c r="AU142" i="2"/>
  <c r="AT142" i="2"/>
  <c r="AR142" i="2"/>
  <c r="AQ142" i="2"/>
  <c r="AP142" i="2"/>
  <c r="AO142" i="2"/>
  <c r="AM142" i="2"/>
  <c r="AH142" i="2"/>
  <c r="AE142" i="2"/>
  <c r="AD142" i="2"/>
  <c r="AC142" i="2"/>
  <c r="AB142" i="2"/>
  <c r="AA142" i="2"/>
  <c r="Z142" i="2"/>
  <c r="L142" i="2"/>
  <c r="K142" i="2"/>
  <c r="P142" i="2"/>
  <c r="AL142" i="2"/>
  <c r="AJ142" i="2"/>
  <c r="AI142" i="2"/>
  <c r="AG142" i="2"/>
  <c r="AL141" i="2"/>
  <c r="AJ141" i="2"/>
  <c r="AI141" i="2"/>
  <c r="AG141" i="2"/>
  <c r="AE141" i="2"/>
  <c r="AD141" i="2"/>
  <c r="AC141" i="2"/>
  <c r="AB141" i="2"/>
  <c r="AA141" i="2"/>
  <c r="Z141" i="2"/>
  <c r="AT141" i="2"/>
  <c r="AR141" i="2"/>
  <c r="AH141" i="2"/>
  <c r="AO141" i="2"/>
  <c r="AT140" i="2"/>
  <c r="AR140" i="2"/>
  <c r="AO140" i="2"/>
  <c r="AL140" i="2"/>
  <c r="AJ140" i="2"/>
  <c r="AG140" i="2"/>
  <c r="AE140" i="2"/>
  <c r="AD140" i="2"/>
  <c r="AC140" i="2"/>
  <c r="AB140" i="2"/>
  <c r="AA140" i="2"/>
  <c r="Z140" i="2"/>
  <c r="P140" i="2"/>
  <c r="O140" i="2"/>
  <c r="N140" i="2"/>
  <c r="M140" i="2"/>
  <c r="AM140" i="2"/>
  <c r="AK140" i="2"/>
  <c r="AQ140" i="2"/>
  <c r="AP140" i="2"/>
  <c r="AP139" i="2"/>
  <c r="AO139" i="2"/>
  <c r="AM139" i="2"/>
  <c r="AL139" i="2"/>
  <c r="AK139" i="2"/>
  <c r="AJ139" i="2"/>
  <c r="AG139" i="2"/>
  <c r="AE139" i="2"/>
  <c r="AD139" i="2"/>
  <c r="AC139" i="2"/>
  <c r="AB139" i="2"/>
  <c r="AA139" i="2"/>
  <c r="Z139" i="2"/>
  <c r="K139" i="2"/>
  <c r="AT139" i="2"/>
  <c r="N139" i="2"/>
  <c r="AQ139" i="2"/>
  <c r="AH139" i="2"/>
  <c r="AU138" i="2"/>
  <c r="AS138" i="2"/>
  <c r="AM138" i="2"/>
  <c r="AI138" i="2"/>
  <c r="AE138" i="2"/>
  <c r="AD138" i="2"/>
  <c r="AC138" i="2"/>
  <c r="AB138" i="2"/>
  <c r="AA138" i="2"/>
  <c r="Z138" i="2"/>
  <c r="P138" i="2"/>
  <c r="AK138" i="2"/>
  <c r="AQ138" i="2"/>
  <c r="AO138" i="2"/>
  <c r="AU137" i="2"/>
  <c r="AT137" i="2"/>
  <c r="AS137" i="2"/>
  <c r="AR137" i="2"/>
  <c r="AQ137" i="2"/>
  <c r="AM137" i="2"/>
  <c r="AK137" i="2"/>
  <c r="AI137" i="2"/>
  <c r="AE137" i="2"/>
  <c r="AD137" i="2"/>
  <c r="AC137" i="2"/>
  <c r="AB137" i="2"/>
  <c r="AA137" i="2"/>
  <c r="Z137" i="2"/>
  <c r="P137" i="2"/>
  <c r="O137" i="2"/>
  <c r="N137" i="2"/>
  <c r="M137" i="2"/>
  <c r="L137" i="2"/>
  <c r="AL137" i="2"/>
  <c r="AJ137" i="2"/>
  <c r="AP137" i="2"/>
  <c r="AO137" i="2"/>
  <c r="AT136" i="2"/>
  <c r="AO136" i="2"/>
  <c r="AL136" i="2"/>
  <c r="AK136" i="2"/>
  <c r="AJ136" i="2"/>
  <c r="AI136" i="2"/>
  <c r="AE136" i="2"/>
  <c r="AD136" i="2"/>
  <c r="AC136" i="2"/>
  <c r="AB136" i="2"/>
  <c r="AA136" i="2"/>
  <c r="Z136" i="2"/>
  <c r="M136" i="2"/>
  <c r="O136" i="2"/>
  <c r="AS136" i="2"/>
  <c r="N136" i="2"/>
  <c r="AG136" i="2"/>
  <c r="AT135" i="2"/>
  <c r="AR135" i="2"/>
  <c r="AL135" i="2"/>
  <c r="AJ135" i="2"/>
  <c r="AH135" i="2"/>
  <c r="AG135" i="2"/>
  <c r="AE135" i="2"/>
  <c r="AD135" i="2"/>
  <c r="AC135" i="2"/>
  <c r="AB135" i="2"/>
  <c r="AA135" i="2"/>
  <c r="Z135" i="2"/>
  <c r="AU135" i="2"/>
  <c r="AP135" i="2"/>
  <c r="AO135" i="2"/>
  <c r="AU134" i="2"/>
  <c r="AT134" i="2"/>
  <c r="AR134" i="2"/>
  <c r="AQ134" i="2"/>
  <c r="AP134" i="2"/>
  <c r="AL134" i="2"/>
  <c r="AJ134" i="2"/>
  <c r="AH134" i="2"/>
  <c r="AE134" i="2"/>
  <c r="AD134" i="2"/>
  <c r="AC134" i="2"/>
  <c r="AB134" i="2"/>
  <c r="AA134" i="2"/>
  <c r="Z134" i="2"/>
  <c r="P134" i="2"/>
  <c r="M134" i="2"/>
  <c r="L134" i="2"/>
  <c r="K134" i="2"/>
  <c r="AM134" i="2"/>
  <c r="AK134" i="2"/>
  <c r="AI134" i="2"/>
  <c r="AO134" i="2"/>
  <c r="AR132" i="2"/>
  <c r="AO132" i="2"/>
  <c r="AM132" i="2"/>
  <c r="AJ132" i="2"/>
  <c r="AI132" i="2"/>
  <c r="AH132" i="2"/>
  <c r="AE132" i="2"/>
  <c r="AD132" i="2"/>
  <c r="AC132" i="2"/>
  <c r="AB132" i="2"/>
  <c r="AA132" i="2"/>
  <c r="Z132" i="2"/>
  <c r="AL132" i="2"/>
  <c r="N132" i="2"/>
  <c r="AG132" i="2"/>
  <c r="AS122" i="2"/>
  <c r="AQ122" i="2"/>
  <c r="AK122" i="2"/>
  <c r="AJ122" i="2"/>
  <c r="AI122" i="2"/>
  <c r="AG122" i="2"/>
  <c r="AE122" i="2"/>
  <c r="AD122" i="2"/>
  <c r="AC122" i="2"/>
  <c r="AB122" i="2"/>
  <c r="AA122" i="2"/>
  <c r="Z122" i="2"/>
  <c r="AU122" i="2"/>
  <c r="AT122" i="2"/>
  <c r="L122" i="2"/>
  <c r="AO122" i="2"/>
  <c r="AT121" i="2"/>
  <c r="AS121" i="2"/>
  <c r="AQ121" i="2"/>
  <c r="AO121" i="2"/>
  <c r="AK121" i="2"/>
  <c r="AI121" i="2"/>
  <c r="AG121" i="2"/>
  <c r="AE121" i="2"/>
  <c r="AD121" i="2"/>
  <c r="AC121" i="2"/>
  <c r="AB121" i="2"/>
  <c r="AA121" i="2"/>
  <c r="Z121" i="2"/>
  <c r="O121" i="2"/>
  <c r="AM121" i="2"/>
  <c r="AL121" i="2"/>
  <c r="AR121" i="2"/>
  <c r="AP121" i="2"/>
  <c r="AR118" i="2"/>
  <c r="AP118" i="2"/>
  <c r="AK118" i="2"/>
  <c r="AI118" i="2"/>
  <c r="AE118" i="2"/>
  <c r="AD118" i="2"/>
  <c r="AC118" i="2"/>
  <c r="AB118" i="2"/>
  <c r="AA118" i="2"/>
  <c r="Z118" i="2"/>
  <c r="M118" i="2"/>
  <c r="L118" i="2"/>
  <c r="AJ118" i="2"/>
  <c r="AQ118" i="2"/>
  <c r="AH118" i="2"/>
  <c r="AU117" i="2"/>
  <c r="AR117" i="2"/>
  <c r="AM117" i="2"/>
  <c r="AJ117" i="2"/>
  <c r="AH117" i="2"/>
  <c r="AG117" i="2"/>
  <c r="AE117" i="2"/>
  <c r="AD117" i="2"/>
  <c r="AC117" i="2"/>
  <c r="AB117" i="2"/>
  <c r="AA117" i="2"/>
  <c r="Z117" i="2"/>
  <c r="P117" i="2"/>
  <c r="K117" i="2"/>
  <c r="AT117" i="2"/>
  <c r="AS117" i="2"/>
  <c r="AP117" i="2"/>
  <c r="AO117" i="2"/>
  <c r="AS116" i="2"/>
  <c r="AR116" i="2"/>
  <c r="AQ116" i="2"/>
  <c r="AP116" i="2"/>
  <c r="AJ116" i="2"/>
  <c r="AH116" i="2"/>
  <c r="AE116" i="2"/>
  <c r="AD116" i="2"/>
  <c r="AC116" i="2"/>
  <c r="AB116" i="2"/>
  <c r="AA116" i="2"/>
  <c r="Z116" i="2"/>
  <c r="N116" i="2"/>
  <c r="K116" i="2"/>
  <c r="AK116" i="2"/>
  <c r="AG116" i="2"/>
  <c r="AQ115" i="2"/>
  <c r="AP115" i="2"/>
  <c r="AJ115" i="2"/>
  <c r="AI115" i="2"/>
  <c r="AH115" i="2"/>
  <c r="AG115" i="2"/>
  <c r="AE115" i="2"/>
  <c r="AD115" i="2"/>
  <c r="AC115" i="2"/>
  <c r="AB115" i="2"/>
  <c r="AA115" i="2"/>
  <c r="Z115" i="2"/>
  <c r="L115" i="2"/>
  <c r="K115" i="2"/>
  <c r="AO115" i="2"/>
  <c r="AU114" i="2"/>
  <c r="AT114" i="2"/>
  <c r="AQ114" i="2"/>
  <c r="AL114" i="2"/>
  <c r="AI114" i="2"/>
  <c r="AH114" i="2"/>
  <c r="AG114" i="2"/>
  <c r="AE114" i="2"/>
  <c r="AD114" i="2"/>
  <c r="AC114" i="2"/>
  <c r="AB114" i="2"/>
  <c r="AA114" i="2"/>
  <c r="Z114" i="2"/>
  <c r="P114" i="2"/>
  <c r="O114" i="2"/>
  <c r="L114" i="2"/>
  <c r="AM114" i="2"/>
  <c r="AS114" i="2"/>
  <c r="AR114" i="2"/>
  <c r="AO114" i="2"/>
  <c r="AR113" i="2"/>
  <c r="AQ113" i="2"/>
  <c r="AO113" i="2"/>
  <c r="AM113" i="2"/>
  <c r="AL113" i="2"/>
  <c r="AI113" i="2"/>
  <c r="AG113" i="2"/>
  <c r="AE113" i="2"/>
  <c r="AD113" i="2"/>
  <c r="AC113" i="2"/>
  <c r="AB113" i="2"/>
  <c r="AA113" i="2"/>
  <c r="Z113" i="2"/>
  <c r="M113" i="2"/>
  <c r="AU113" i="2"/>
  <c r="N113" i="2"/>
  <c r="AJ113" i="2"/>
  <c r="AU112" i="2"/>
  <c r="AP112" i="2"/>
  <c r="AO112" i="2"/>
  <c r="AI112" i="2"/>
  <c r="AH112" i="2"/>
  <c r="AG112" i="2"/>
  <c r="AE112" i="2"/>
  <c r="AD112" i="2"/>
  <c r="AC112" i="2"/>
  <c r="AB112" i="2"/>
  <c r="AA112" i="2"/>
  <c r="Z112" i="2"/>
  <c r="K112" i="2"/>
  <c r="AM112" i="2"/>
  <c r="AU111" i="2"/>
  <c r="AS111" i="2"/>
  <c r="AP111" i="2"/>
  <c r="AM111" i="2"/>
  <c r="AK111" i="2"/>
  <c r="AH111" i="2"/>
  <c r="AE111" i="2"/>
  <c r="AD111" i="2"/>
  <c r="AC111" i="2"/>
  <c r="AB111" i="2"/>
  <c r="AA111" i="2"/>
  <c r="Z111" i="2"/>
  <c r="P111" i="2"/>
  <c r="O111" i="2"/>
  <c r="N111" i="2"/>
  <c r="AL111" i="2"/>
  <c r="AR111" i="2"/>
  <c r="AQ111" i="2"/>
  <c r="AR110" i="2"/>
  <c r="AQ110" i="2"/>
  <c r="AP110" i="2"/>
  <c r="AH110" i="2"/>
  <c r="AE110" i="2"/>
  <c r="AD110" i="2"/>
  <c r="AC110" i="2"/>
  <c r="AB110" i="2"/>
  <c r="AA110" i="2"/>
  <c r="Z110" i="2"/>
  <c r="L110" i="2"/>
  <c r="AU110" i="2"/>
  <c r="AI110" i="2"/>
  <c r="AE109" i="2"/>
  <c r="AD109" i="2"/>
  <c r="AC109" i="2"/>
  <c r="AB109" i="2"/>
  <c r="AA109" i="2"/>
  <c r="Z109" i="2"/>
  <c r="AM109" i="2"/>
  <c r="AL109" i="2"/>
  <c r="AT108" i="2"/>
  <c r="AR108" i="2"/>
  <c r="AO108" i="2"/>
  <c r="AL108" i="2"/>
  <c r="AJ108" i="2"/>
  <c r="AG108" i="2"/>
  <c r="AE108" i="2"/>
  <c r="AD108" i="2"/>
  <c r="AC108" i="2"/>
  <c r="AB108" i="2"/>
  <c r="AA108" i="2"/>
  <c r="Z108" i="2"/>
  <c r="O108" i="2"/>
  <c r="N108" i="2"/>
  <c r="M108" i="2"/>
  <c r="AK108" i="2"/>
  <c r="AQ108" i="2"/>
  <c r="AP108" i="2"/>
  <c r="AT107" i="2"/>
  <c r="AP107" i="2"/>
  <c r="AO107" i="2"/>
  <c r="AM107" i="2"/>
  <c r="AL107" i="2"/>
  <c r="AK107" i="2"/>
  <c r="AJ107" i="2"/>
  <c r="AG107" i="2"/>
  <c r="AE107" i="2"/>
  <c r="AD107" i="2"/>
  <c r="AC107" i="2"/>
  <c r="AB107" i="2"/>
  <c r="AA107" i="2"/>
  <c r="Z107" i="2"/>
  <c r="O107" i="2"/>
  <c r="M107" i="2"/>
  <c r="K107" i="2"/>
  <c r="AR107" i="2"/>
  <c r="AH107" i="2"/>
  <c r="AU106" i="2"/>
  <c r="AS106" i="2"/>
  <c r="AM106" i="2"/>
  <c r="AL106" i="2"/>
  <c r="AG106" i="2"/>
  <c r="AE106" i="2"/>
  <c r="AD106" i="2"/>
  <c r="AC106" i="2"/>
  <c r="AB106" i="2"/>
  <c r="AA106" i="2"/>
  <c r="Z106" i="2"/>
  <c r="P106" i="2"/>
  <c r="O106" i="2"/>
  <c r="AT106" i="2"/>
  <c r="AK106" i="2"/>
  <c r="AO106" i="2"/>
  <c r="AU105" i="2"/>
  <c r="AR105" i="2"/>
  <c r="AQ105" i="2"/>
  <c r="AM105" i="2"/>
  <c r="AL105" i="2"/>
  <c r="AI105" i="2"/>
  <c r="AE105" i="2"/>
  <c r="AD105" i="2"/>
  <c r="AC105" i="2"/>
  <c r="AB105" i="2"/>
  <c r="AA105" i="2"/>
  <c r="Z105" i="2"/>
  <c r="P105" i="2"/>
  <c r="O105" i="2"/>
  <c r="L105" i="2"/>
  <c r="AT105" i="2"/>
  <c r="AS105" i="2"/>
  <c r="AJ105" i="2"/>
  <c r="AP105" i="2"/>
  <c r="AO105" i="2"/>
  <c r="AQ104" i="2"/>
  <c r="AP104" i="2"/>
  <c r="AO104" i="2"/>
  <c r="AM104" i="2"/>
  <c r="AL104" i="2"/>
  <c r="AK104" i="2"/>
  <c r="AJ104" i="2"/>
  <c r="AE104" i="2"/>
  <c r="AD104" i="2"/>
  <c r="AC104" i="2"/>
  <c r="AB104" i="2"/>
  <c r="AA104" i="2"/>
  <c r="Z104" i="2"/>
  <c r="AS104" i="2"/>
  <c r="M104" i="2"/>
  <c r="AG104" i="2"/>
  <c r="AT103" i="2"/>
  <c r="AS103" i="2"/>
  <c r="AR103" i="2"/>
  <c r="AL103" i="2"/>
  <c r="AH103" i="2"/>
  <c r="AE103" i="2"/>
  <c r="AD103" i="2"/>
  <c r="AC103" i="2"/>
  <c r="AB103" i="2"/>
  <c r="AA103" i="2"/>
  <c r="Z103" i="2"/>
  <c r="AU103" i="2"/>
  <c r="AK103" i="2"/>
  <c r="AJ103" i="2"/>
  <c r="AO103" i="2"/>
  <c r="AU102" i="2"/>
  <c r="AT102" i="2"/>
  <c r="AS102" i="2"/>
  <c r="AR102" i="2"/>
  <c r="AQ102" i="2"/>
  <c r="AP102" i="2"/>
  <c r="AL102" i="2"/>
  <c r="AJ102" i="2"/>
  <c r="AH102" i="2"/>
  <c r="AE102" i="2"/>
  <c r="AD102" i="2"/>
  <c r="AC102" i="2"/>
  <c r="AB102" i="2"/>
  <c r="AA102" i="2"/>
  <c r="Z102" i="2"/>
  <c r="P102" i="2"/>
  <c r="M102" i="2"/>
  <c r="K102" i="2"/>
  <c r="AM102" i="2"/>
  <c r="AI102" i="2"/>
  <c r="AO102" i="2"/>
  <c r="AS100" i="2"/>
  <c r="AR100" i="2"/>
  <c r="AQ100" i="2"/>
  <c r="AO100" i="2"/>
  <c r="AL100" i="2"/>
  <c r="AK100" i="2"/>
  <c r="AJ100" i="2"/>
  <c r="AE100" i="2"/>
  <c r="AD100" i="2"/>
  <c r="AC100" i="2"/>
  <c r="AB100" i="2"/>
  <c r="AA100" i="2"/>
  <c r="Z100" i="2"/>
  <c r="L100" i="2"/>
  <c r="K100" i="2"/>
  <c r="AI100" i="2"/>
  <c r="AH100" i="2"/>
  <c r="AG100" i="2"/>
  <c r="AS91" i="2"/>
  <c r="AQ91" i="2"/>
  <c r="AK91" i="2"/>
  <c r="AI91" i="2"/>
  <c r="AG91" i="2"/>
  <c r="AE91" i="2"/>
  <c r="AD91" i="2"/>
  <c r="AC91" i="2"/>
  <c r="AB91" i="2"/>
  <c r="AA91" i="2"/>
  <c r="Z91" i="2"/>
  <c r="N91" i="2"/>
  <c r="M91" i="2"/>
  <c r="L91" i="2"/>
  <c r="AU91" i="2"/>
  <c r="AT91" i="2"/>
  <c r="AH91" i="2"/>
  <c r="AO91" i="2"/>
  <c r="AT90" i="2"/>
  <c r="AS90" i="2"/>
  <c r="AR90" i="2"/>
  <c r="AO90" i="2"/>
  <c r="AK90" i="2"/>
  <c r="AJ90" i="2"/>
  <c r="AI90" i="2"/>
  <c r="AG90" i="2"/>
  <c r="AE90" i="2"/>
  <c r="AD90" i="2"/>
  <c r="AC90" i="2"/>
  <c r="AB90" i="2"/>
  <c r="AA90" i="2"/>
  <c r="Z90" i="2"/>
  <c r="O90" i="2"/>
  <c r="AL90" i="2"/>
  <c r="N90" i="2"/>
  <c r="AQ90" i="2"/>
  <c r="AR89" i="2"/>
  <c r="AQ89" i="2"/>
  <c r="AO89" i="2"/>
  <c r="AM89" i="2"/>
  <c r="AL89" i="2"/>
  <c r="AK89" i="2"/>
  <c r="AE89" i="2"/>
  <c r="AD89" i="2"/>
  <c r="AC89" i="2"/>
  <c r="AB89" i="2"/>
  <c r="AA89" i="2"/>
  <c r="Z89" i="2"/>
  <c r="AJ89" i="2"/>
  <c r="AI89" i="2"/>
  <c r="AH89" i="2"/>
  <c r="AG89" i="2"/>
  <c r="AU88" i="2"/>
  <c r="AR88" i="2"/>
  <c r="AM88" i="2"/>
  <c r="AJ88" i="2"/>
  <c r="AI88" i="2"/>
  <c r="AE88" i="2"/>
  <c r="AD88" i="2"/>
  <c r="AC88" i="2"/>
  <c r="AB88" i="2"/>
  <c r="AA88" i="2"/>
  <c r="Z88" i="2"/>
  <c r="P88" i="2"/>
  <c r="M88" i="2"/>
  <c r="AT88" i="2"/>
  <c r="AS88" i="2"/>
  <c r="AQ88" i="2"/>
  <c r="AO88" i="2"/>
  <c r="AU78" i="2"/>
  <c r="AS78" i="2"/>
  <c r="AR78" i="2"/>
  <c r="AQ78" i="2"/>
  <c r="AP78" i="2"/>
  <c r="AM78" i="2"/>
  <c r="AJ78" i="2"/>
  <c r="AH78" i="2"/>
  <c r="AE78" i="2"/>
  <c r="AD78" i="2"/>
  <c r="AC78" i="2"/>
  <c r="AB78" i="2"/>
  <c r="AA78" i="2"/>
  <c r="Z78" i="2"/>
  <c r="N78" i="2"/>
  <c r="AK78" i="2"/>
  <c r="AG78" i="2"/>
  <c r="AQ77" i="2"/>
  <c r="AP77" i="2"/>
  <c r="AO77" i="2"/>
  <c r="AH77" i="2"/>
  <c r="AG77" i="2"/>
  <c r="AE77" i="2"/>
  <c r="AD77" i="2"/>
  <c r="AC77" i="2"/>
  <c r="AB77" i="2"/>
  <c r="AA77" i="2"/>
  <c r="Z77" i="2"/>
  <c r="L77" i="2"/>
  <c r="K77" i="2"/>
  <c r="AI77" i="2"/>
  <c r="AT76" i="2"/>
  <c r="AQ76" i="2"/>
  <c r="AP76" i="2"/>
  <c r="AI76" i="2"/>
  <c r="AE76" i="2"/>
  <c r="AD76" i="2"/>
  <c r="AC76" i="2"/>
  <c r="AB76" i="2"/>
  <c r="AA76" i="2"/>
  <c r="Z76" i="2"/>
  <c r="O76" i="2"/>
  <c r="L76" i="2"/>
  <c r="K76" i="2"/>
  <c r="AL76" i="2"/>
  <c r="AS76" i="2"/>
  <c r="AR76" i="2"/>
  <c r="AH76" i="2"/>
  <c r="AO76" i="2"/>
  <c r="AU75" i="2"/>
  <c r="AR75" i="2"/>
  <c r="AQ75" i="2"/>
  <c r="AM75" i="2"/>
  <c r="AL75" i="2"/>
  <c r="AI75" i="2"/>
  <c r="AH75" i="2"/>
  <c r="AG75" i="2"/>
  <c r="AE75" i="2"/>
  <c r="AD75" i="2"/>
  <c r="AC75" i="2"/>
  <c r="AB75" i="2"/>
  <c r="AA75" i="2"/>
  <c r="Z75" i="2"/>
  <c r="M75" i="2"/>
  <c r="P75" i="2"/>
  <c r="AJ75" i="2"/>
  <c r="AP75" i="2"/>
  <c r="AO75" i="2"/>
  <c r="AU74" i="2"/>
  <c r="AP74" i="2"/>
  <c r="AO74" i="2"/>
  <c r="AI74" i="2"/>
  <c r="AH74" i="2"/>
  <c r="AG74" i="2"/>
  <c r="AE74" i="2"/>
  <c r="AD74" i="2"/>
  <c r="AC74" i="2"/>
  <c r="AB74" i="2"/>
  <c r="AA74" i="2"/>
  <c r="Z74" i="2"/>
  <c r="K74" i="2"/>
  <c r="AM74" i="2"/>
  <c r="AS72" i="2"/>
  <c r="AP72" i="2"/>
  <c r="AO72" i="2"/>
  <c r="AM72" i="2"/>
  <c r="AH72" i="2"/>
  <c r="AE72" i="2"/>
  <c r="AD72" i="2"/>
  <c r="AC72" i="2"/>
  <c r="AB72" i="2"/>
  <c r="AA72" i="2"/>
  <c r="Z72" i="2"/>
  <c r="P72" i="2"/>
  <c r="O72" i="2"/>
  <c r="N72" i="2"/>
  <c r="AU72" i="2"/>
  <c r="AL72" i="2"/>
  <c r="AK72" i="2"/>
  <c r="AR72" i="2"/>
  <c r="AQ72" i="2"/>
  <c r="AG72" i="2"/>
  <c r="AQ71" i="2"/>
  <c r="AP71" i="2"/>
  <c r="AO71" i="2"/>
  <c r="AM71" i="2"/>
  <c r="AL71" i="2"/>
  <c r="AK71" i="2"/>
  <c r="AH71" i="2"/>
  <c r="AE71" i="2"/>
  <c r="AD71" i="2"/>
  <c r="AC71" i="2"/>
  <c r="AB71" i="2"/>
  <c r="AA71" i="2"/>
  <c r="Z71" i="2"/>
  <c r="L71" i="2"/>
  <c r="AT71" i="2"/>
  <c r="AR71" i="2"/>
  <c r="AI71" i="2"/>
  <c r="AU70" i="2"/>
  <c r="AT70" i="2"/>
  <c r="AI70" i="2"/>
  <c r="AH70" i="2"/>
  <c r="AG70" i="2"/>
  <c r="AE70" i="2"/>
  <c r="AD70" i="2"/>
  <c r="AC70" i="2"/>
  <c r="AB70" i="2"/>
  <c r="AA70" i="2"/>
  <c r="Z70" i="2"/>
  <c r="AM70" i="2"/>
  <c r="AL70" i="2"/>
  <c r="AO70" i="2"/>
  <c r="AT69" i="2"/>
  <c r="AR69" i="2"/>
  <c r="AO69" i="2"/>
  <c r="AL69" i="2"/>
  <c r="AG69" i="2"/>
  <c r="AE69" i="2"/>
  <c r="AD69" i="2"/>
  <c r="AC69" i="2"/>
  <c r="AB69" i="2"/>
  <c r="AA69" i="2"/>
  <c r="Z69" i="2"/>
  <c r="P69" i="2"/>
  <c r="O69" i="2"/>
  <c r="N69" i="2"/>
  <c r="M69" i="2"/>
  <c r="AU69" i="2"/>
  <c r="AK69" i="2"/>
  <c r="AJ69" i="2"/>
  <c r="AQ69" i="2"/>
  <c r="AP69" i="2"/>
  <c r="AP68" i="2"/>
  <c r="AO68" i="2"/>
  <c r="AM68" i="2"/>
  <c r="AL68" i="2"/>
  <c r="AK68" i="2"/>
  <c r="AJ68" i="2"/>
  <c r="AG68" i="2"/>
  <c r="AE68" i="2"/>
  <c r="AD68" i="2"/>
  <c r="AC68" i="2"/>
  <c r="AB68" i="2"/>
  <c r="AA68" i="2"/>
  <c r="Z68" i="2"/>
  <c r="P68" i="2"/>
  <c r="L68" i="2"/>
  <c r="K68" i="2"/>
  <c r="AU68" i="2"/>
  <c r="AI68" i="2"/>
  <c r="AH68" i="2"/>
  <c r="AU66" i="2"/>
  <c r="AS66" i="2"/>
  <c r="AM66" i="2"/>
  <c r="AK66" i="2"/>
  <c r="AI66" i="2"/>
  <c r="AE66" i="2"/>
  <c r="AD66" i="2"/>
  <c r="AC66" i="2"/>
  <c r="AB66" i="2"/>
  <c r="AA66" i="2"/>
  <c r="Z66" i="2"/>
  <c r="P66" i="2"/>
  <c r="O66" i="2"/>
  <c r="N66" i="2"/>
  <c r="AJ66" i="2"/>
  <c r="AH66" i="2"/>
  <c r="AU65" i="2"/>
  <c r="AT65" i="2"/>
  <c r="AR65" i="2"/>
  <c r="AQ65" i="2"/>
  <c r="AM65" i="2"/>
  <c r="AL65" i="2"/>
  <c r="AK65" i="2"/>
  <c r="AE65" i="2"/>
  <c r="AD65" i="2"/>
  <c r="AC65" i="2"/>
  <c r="AB65" i="2"/>
  <c r="AA65" i="2"/>
  <c r="Z65" i="2"/>
  <c r="P65" i="2"/>
  <c r="L65" i="2"/>
  <c r="O65" i="2"/>
  <c r="AJ65" i="2"/>
  <c r="AI65" i="2"/>
  <c r="AP65" i="2"/>
  <c r="AO65" i="2"/>
  <c r="AT64" i="2"/>
  <c r="AS64" i="2"/>
  <c r="AQ64" i="2"/>
  <c r="AP64" i="2"/>
  <c r="AO64" i="2"/>
  <c r="AM64" i="2"/>
  <c r="AL64" i="2"/>
  <c r="AK64" i="2"/>
  <c r="AE64" i="2"/>
  <c r="AD64" i="2"/>
  <c r="AC64" i="2"/>
  <c r="AB64" i="2"/>
  <c r="AA64" i="2"/>
  <c r="Z64" i="2"/>
  <c r="AJ64" i="2"/>
  <c r="AI64" i="2"/>
  <c r="AH64" i="2"/>
  <c r="AG64" i="2"/>
  <c r="AT63" i="2"/>
  <c r="AS63" i="2"/>
  <c r="AL63" i="2"/>
  <c r="AK63" i="2"/>
  <c r="AI63" i="2"/>
  <c r="AE63" i="2"/>
  <c r="AD63" i="2"/>
  <c r="AC63" i="2"/>
  <c r="AB63" i="2"/>
  <c r="AA63" i="2"/>
  <c r="Z63" i="2"/>
  <c r="O63" i="2"/>
  <c r="N63" i="2"/>
  <c r="M63" i="2"/>
  <c r="AU63" i="2"/>
  <c r="AR63" i="2"/>
  <c r="AH63" i="2"/>
  <c r="AU62" i="2"/>
  <c r="AT62" i="2"/>
  <c r="AQ62" i="2"/>
  <c r="AP62" i="2"/>
  <c r="AL62" i="2"/>
  <c r="AK62" i="2"/>
  <c r="AE62" i="2"/>
  <c r="AD62" i="2"/>
  <c r="AC62" i="2"/>
  <c r="AB62" i="2"/>
  <c r="AA62" i="2"/>
  <c r="Z62" i="2"/>
  <c r="P62" i="2"/>
  <c r="O62" i="2"/>
  <c r="K62" i="2"/>
  <c r="AM62" i="2"/>
  <c r="AH62" i="2"/>
  <c r="AO62" i="2"/>
  <c r="AR61" i="2"/>
  <c r="AP61" i="2"/>
  <c r="AO61" i="2"/>
  <c r="AE61" i="2"/>
  <c r="AD61" i="2"/>
  <c r="AC61" i="2"/>
  <c r="AB61" i="2"/>
  <c r="AA61" i="2"/>
  <c r="Z61" i="2"/>
  <c r="M61" i="2"/>
  <c r="L61" i="2"/>
  <c r="K61" i="2"/>
  <c r="AJ61" i="2"/>
  <c r="AI61" i="2"/>
  <c r="AH61" i="2"/>
  <c r="AG61" i="2"/>
  <c r="AS60" i="2"/>
  <c r="AQ60" i="2"/>
  <c r="AK60" i="2"/>
  <c r="AI60" i="2"/>
  <c r="AE60" i="2"/>
  <c r="AD60" i="2"/>
  <c r="AC60" i="2"/>
  <c r="AB60" i="2"/>
  <c r="AA60" i="2"/>
  <c r="Z60" i="2"/>
  <c r="N60" i="2"/>
  <c r="M60" i="2"/>
  <c r="L60" i="2"/>
  <c r="AU60" i="2"/>
  <c r="AT60" i="2"/>
  <c r="AH60" i="2"/>
  <c r="AU58" i="2"/>
  <c r="AT58" i="2"/>
  <c r="AS58" i="2"/>
  <c r="AQ58" i="2"/>
  <c r="AP58" i="2"/>
  <c r="AO58" i="2"/>
  <c r="AK58" i="2"/>
  <c r="AJ58" i="2"/>
  <c r="AI58" i="2"/>
  <c r="AE58" i="2"/>
  <c r="AD58" i="2"/>
  <c r="AC58" i="2"/>
  <c r="AB58" i="2"/>
  <c r="AA58" i="2"/>
  <c r="Z58" i="2"/>
  <c r="P58" i="2"/>
  <c r="O58" i="2"/>
  <c r="AM58" i="2"/>
  <c r="AL58" i="2"/>
  <c r="AH58" i="2"/>
  <c r="AG58" i="2"/>
  <c r="AO56" i="2"/>
  <c r="AM56" i="2"/>
  <c r="AL56" i="2"/>
  <c r="AJ56" i="2"/>
  <c r="AG56" i="2"/>
  <c r="AE56" i="2"/>
  <c r="AD56" i="2"/>
  <c r="AC56" i="2"/>
  <c r="AB56" i="2"/>
  <c r="AA56" i="2"/>
  <c r="Z56" i="2"/>
  <c r="M56" i="2"/>
  <c r="AI56" i="2"/>
  <c r="AH56" i="2"/>
  <c r="AU46" i="2"/>
  <c r="AR46" i="2"/>
  <c r="AP46" i="2"/>
  <c r="AJ46" i="2"/>
  <c r="AI46" i="2"/>
  <c r="AE46" i="2"/>
  <c r="AD46" i="2"/>
  <c r="AC46" i="2"/>
  <c r="AB46" i="2"/>
  <c r="AA46" i="2"/>
  <c r="Z46" i="2"/>
  <c r="P46" i="2"/>
  <c r="M46" i="2"/>
  <c r="AM46" i="2"/>
  <c r="AT46" i="2"/>
  <c r="AS46" i="2"/>
  <c r="AQ46" i="2"/>
  <c r="AH46" i="2"/>
  <c r="AO46" i="2"/>
  <c r="AU45" i="2"/>
  <c r="AS45" i="2"/>
  <c r="AR45" i="2"/>
  <c r="AQ45" i="2"/>
  <c r="AJ45" i="2"/>
  <c r="AH45" i="2"/>
  <c r="AE45" i="2"/>
  <c r="AD45" i="2"/>
  <c r="AC45" i="2"/>
  <c r="AB45" i="2"/>
  <c r="AA45" i="2"/>
  <c r="Z45" i="2"/>
  <c r="N45" i="2"/>
  <c r="AK45" i="2"/>
  <c r="AG45" i="2"/>
  <c r="AP44" i="2"/>
  <c r="AO44" i="2"/>
  <c r="AH44" i="2"/>
  <c r="AG44" i="2"/>
  <c r="AE44" i="2"/>
  <c r="AD44" i="2"/>
  <c r="AC44" i="2"/>
  <c r="AB44" i="2"/>
  <c r="AA44" i="2"/>
  <c r="Z44" i="2"/>
  <c r="L44" i="2"/>
  <c r="K44" i="2"/>
  <c r="AI44" i="2"/>
  <c r="AT43" i="2"/>
  <c r="AQ43" i="2"/>
  <c r="AP43" i="2"/>
  <c r="AI43" i="2"/>
  <c r="AE43" i="2"/>
  <c r="AD43" i="2"/>
  <c r="AC43" i="2"/>
  <c r="AB43" i="2"/>
  <c r="AA43" i="2"/>
  <c r="Z43" i="2"/>
  <c r="O43" i="2"/>
  <c r="L43" i="2"/>
  <c r="K43" i="2"/>
  <c r="AL43" i="2"/>
  <c r="AS43" i="2"/>
  <c r="AR43" i="2"/>
  <c r="AH43" i="2"/>
  <c r="AO43" i="2"/>
  <c r="AR42" i="2"/>
  <c r="AQ42" i="2"/>
  <c r="AM42" i="2"/>
  <c r="AL42" i="2"/>
  <c r="AI42" i="2"/>
  <c r="AH42" i="2"/>
  <c r="AG42" i="2"/>
  <c r="AE42" i="2"/>
  <c r="AD42" i="2"/>
  <c r="AC42" i="2"/>
  <c r="AB42" i="2"/>
  <c r="AA42" i="2"/>
  <c r="Z42" i="2"/>
  <c r="M42" i="2"/>
  <c r="P42" i="2"/>
  <c r="N42" i="2"/>
  <c r="AJ42" i="2"/>
  <c r="L42" i="2"/>
  <c r="AO42" i="2"/>
  <c r="AU41" i="2"/>
  <c r="AP41" i="2"/>
  <c r="AO41" i="2"/>
  <c r="AL41" i="2"/>
  <c r="AI41" i="2"/>
  <c r="AH41" i="2"/>
  <c r="AG41" i="2"/>
  <c r="AE41" i="2"/>
  <c r="AD41" i="2"/>
  <c r="AC41" i="2"/>
  <c r="AB41" i="2"/>
  <c r="AA41" i="2"/>
  <c r="Z41" i="2"/>
  <c r="AM41" i="2"/>
  <c r="K41" i="2"/>
  <c r="AS40" i="2"/>
  <c r="AP40" i="2"/>
  <c r="AO40" i="2"/>
  <c r="AM40" i="2"/>
  <c r="AH40" i="2"/>
  <c r="AE40" i="2"/>
  <c r="AD40" i="2"/>
  <c r="AC40" i="2"/>
  <c r="AB40" i="2"/>
  <c r="AA40" i="2"/>
  <c r="Z40" i="2"/>
  <c r="N40" i="2"/>
  <c r="AU40" i="2"/>
  <c r="AK40" i="2"/>
  <c r="AR40" i="2"/>
  <c r="AQ40" i="2"/>
  <c r="AS39" i="2"/>
  <c r="AR39" i="2"/>
  <c r="AQ39" i="2"/>
  <c r="AP39" i="2"/>
  <c r="AH39" i="2"/>
  <c r="AG39" i="2"/>
  <c r="AE39" i="2"/>
  <c r="AD39" i="2"/>
  <c r="AC39" i="2"/>
  <c r="AB39" i="2"/>
  <c r="AA39" i="2"/>
  <c r="Z39" i="2"/>
  <c r="L39" i="2"/>
  <c r="K39" i="2"/>
  <c r="AI39" i="2"/>
  <c r="AO39" i="2"/>
  <c r="AT35" i="2"/>
  <c r="AJ35" i="2"/>
  <c r="AI35" i="2"/>
  <c r="AH35" i="2"/>
  <c r="AG35" i="2"/>
  <c r="AE35" i="2"/>
  <c r="AD35" i="2"/>
  <c r="AC35" i="2"/>
  <c r="AB35" i="2"/>
  <c r="AA35" i="2"/>
  <c r="Z35" i="2"/>
  <c r="O35" i="2"/>
  <c r="P35" i="2"/>
  <c r="AL35" i="2"/>
  <c r="AO35" i="2"/>
  <c r="AT34" i="2"/>
  <c r="AR34" i="2"/>
  <c r="AO34" i="2"/>
  <c r="AL34" i="2"/>
  <c r="AG34" i="2"/>
  <c r="AE34" i="2"/>
  <c r="AD34" i="2"/>
  <c r="AC34" i="2"/>
  <c r="AB34" i="2"/>
  <c r="AA34" i="2"/>
  <c r="Z34" i="2"/>
  <c r="P34" i="2"/>
  <c r="O34" i="2"/>
  <c r="N34" i="2"/>
  <c r="M34" i="2"/>
  <c r="AK34" i="2"/>
  <c r="AJ34" i="2"/>
  <c r="AQ34" i="2"/>
  <c r="AP34" i="2"/>
  <c r="AP32" i="2"/>
  <c r="AO32" i="2"/>
  <c r="AM32" i="2"/>
  <c r="AL32" i="2"/>
  <c r="AK32" i="2"/>
  <c r="AJ32" i="2"/>
  <c r="AG32" i="2"/>
  <c r="AE32" i="2"/>
  <c r="AD32" i="2"/>
  <c r="AC32" i="2"/>
  <c r="AB32" i="2"/>
  <c r="AA32" i="2"/>
  <c r="Z32" i="2"/>
  <c r="K32" i="2"/>
  <c r="AU32" i="2"/>
  <c r="N32" i="2"/>
  <c r="M32" i="2"/>
  <c r="AI32" i="2"/>
  <c r="AH32" i="2"/>
  <c r="AU31" i="2"/>
  <c r="AS31" i="2"/>
  <c r="AM31" i="2"/>
  <c r="AK31" i="2"/>
  <c r="AI31" i="2"/>
  <c r="AE31" i="2"/>
  <c r="AD31" i="2"/>
  <c r="AC31" i="2"/>
  <c r="AB31" i="2"/>
  <c r="AA31" i="2"/>
  <c r="Z31" i="2"/>
  <c r="O31" i="2"/>
  <c r="N31" i="2"/>
  <c r="AH31" i="2"/>
  <c r="AU30" i="2"/>
  <c r="AT30" i="2"/>
  <c r="AR30" i="2"/>
  <c r="AQ30" i="2"/>
  <c r="AM30" i="2"/>
  <c r="AL30" i="2"/>
  <c r="AE30" i="2"/>
  <c r="AD30" i="2"/>
  <c r="AC30" i="2"/>
  <c r="AB30" i="2"/>
  <c r="AA30" i="2"/>
  <c r="Z30" i="2"/>
  <c r="P30" i="2"/>
  <c r="L30" i="2"/>
  <c r="AJ30" i="2"/>
  <c r="AI30" i="2"/>
  <c r="AP30" i="2"/>
  <c r="AO30" i="2"/>
  <c r="AS29" i="2"/>
  <c r="AP29" i="2"/>
  <c r="AO29" i="2"/>
  <c r="AM29" i="2"/>
  <c r="AL29" i="2"/>
  <c r="AK29" i="2"/>
  <c r="AI29" i="2"/>
  <c r="AE29" i="2"/>
  <c r="AD29" i="2"/>
  <c r="AC29" i="2"/>
  <c r="AB29" i="2"/>
  <c r="AA29" i="2"/>
  <c r="Z29" i="2"/>
  <c r="N29" i="2"/>
  <c r="M29" i="2"/>
  <c r="L29" i="2"/>
  <c r="K29" i="2"/>
  <c r="O29" i="2"/>
  <c r="AJ29" i="2"/>
  <c r="AQ29" i="2"/>
  <c r="AH29" i="2"/>
  <c r="AG29" i="2"/>
  <c r="AT26" i="2"/>
  <c r="AS26" i="2"/>
  <c r="AL26" i="2"/>
  <c r="AK26" i="2"/>
  <c r="AI26" i="2"/>
  <c r="AE26" i="2"/>
  <c r="AD26" i="2"/>
  <c r="AC26" i="2"/>
  <c r="AB26" i="2"/>
  <c r="AA26" i="2"/>
  <c r="Z26" i="2"/>
  <c r="O26" i="2"/>
  <c r="N26" i="2"/>
  <c r="AU26" i="2"/>
  <c r="AU25" i="2"/>
  <c r="AT25" i="2"/>
  <c r="AP25" i="2"/>
  <c r="AL25" i="2"/>
  <c r="AK25" i="2"/>
  <c r="AJ25" i="2"/>
  <c r="AE25" i="2"/>
  <c r="AD25" i="2"/>
  <c r="AC25" i="2"/>
  <c r="AB25" i="2"/>
  <c r="AA25" i="2"/>
  <c r="Z25" i="2"/>
  <c r="P25" i="2"/>
  <c r="O25" i="2"/>
  <c r="K25" i="2"/>
  <c r="AM25" i="2"/>
  <c r="AR25" i="2"/>
  <c r="AI25" i="2"/>
  <c r="AH25" i="2"/>
  <c r="AO25" i="2"/>
  <c r="AO23" i="2"/>
  <c r="AM23" i="2"/>
  <c r="AL23" i="2"/>
  <c r="AE23" i="2"/>
  <c r="AD23" i="2"/>
  <c r="AC23" i="2"/>
  <c r="AB23" i="2"/>
  <c r="AA23" i="2"/>
  <c r="Z23" i="2"/>
  <c r="AK23" i="2"/>
  <c r="AG23" i="2"/>
  <c r="AS22" i="2"/>
  <c r="AQ22" i="2"/>
  <c r="AK22" i="2"/>
  <c r="AI22" i="2"/>
  <c r="AE22" i="2"/>
  <c r="AD22" i="2"/>
  <c r="AC22" i="2"/>
  <c r="AB22" i="2"/>
  <c r="AA22" i="2"/>
  <c r="Z22" i="2"/>
  <c r="AU22" i="2"/>
  <c r="AT22" i="2"/>
  <c r="AU20" i="2"/>
  <c r="AT20" i="2"/>
  <c r="AS20" i="2"/>
  <c r="AO20" i="2"/>
  <c r="AK20" i="2"/>
  <c r="AJ20" i="2"/>
  <c r="AI20" i="2"/>
  <c r="AE20" i="2"/>
  <c r="AD20" i="2"/>
  <c r="AC20" i="2"/>
  <c r="AB20" i="2"/>
  <c r="AA20" i="2"/>
  <c r="Z20" i="2"/>
  <c r="P20" i="2"/>
  <c r="O20" i="2"/>
  <c r="N20" i="2"/>
  <c r="M20" i="2"/>
  <c r="L20" i="2"/>
  <c r="AM20" i="2"/>
  <c r="AL20" i="2"/>
  <c r="AR20" i="2"/>
  <c r="AQ20" i="2"/>
  <c r="AH20" i="2"/>
  <c r="AG20" i="2"/>
  <c r="AO19" i="2"/>
  <c r="AM19" i="2"/>
  <c r="AL19" i="2"/>
  <c r="AJ19" i="2"/>
  <c r="AH19" i="2"/>
  <c r="AG19" i="2"/>
  <c r="AE19" i="2"/>
  <c r="AD19" i="2"/>
  <c r="AC19" i="2"/>
  <c r="AB19" i="2"/>
  <c r="AA19" i="2"/>
  <c r="Z19" i="2"/>
  <c r="M19" i="2"/>
  <c r="AI19" i="2"/>
  <c r="AP19" i="2"/>
  <c r="AU18" i="2"/>
  <c r="AR18" i="2"/>
  <c r="AQ18" i="2"/>
  <c r="AP18" i="2"/>
  <c r="AJ18" i="2"/>
  <c r="AI18" i="2"/>
  <c r="AE18" i="2"/>
  <c r="AD18" i="2"/>
  <c r="AC18" i="2"/>
  <c r="AB18" i="2"/>
  <c r="AA18" i="2"/>
  <c r="Z18" i="2"/>
  <c r="P18" i="2"/>
  <c r="AM18" i="2"/>
  <c r="AT18" i="2"/>
  <c r="AS18" i="2"/>
  <c r="M18" i="2"/>
  <c r="AH18" i="2"/>
  <c r="AU17" i="2"/>
  <c r="AR17" i="2"/>
  <c r="AQ17" i="2"/>
  <c r="AP17" i="2"/>
  <c r="AK17" i="2"/>
  <c r="AJ17" i="2"/>
  <c r="AI17" i="2"/>
  <c r="AH17" i="2"/>
  <c r="AG17" i="2"/>
  <c r="AE17" i="2"/>
  <c r="AD17" i="2"/>
  <c r="AC17" i="2"/>
  <c r="AB17" i="2"/>
  <c r="AA17" i="2"/>
  <c r="Z17" i="2"/>
  <c r="M17" i="2"/>
  <c r="L17" i="2"/>
  <c r="K17" i="2"/>
  <c r="AO17" i="2"/>
  <c r="AS15" i="2"/>
  <c r="AM15" i="2"/>
  <c r="AK15" i="2"/>
  <c r="AJ15" i="2"/>
  <c r="AI15" i="2"/>
  <c r="AH15" i="2"/>
  <c r="AG15" i="2"/>
  <c r="AE15" i="2"/>
  <c r="AD15" i="2"/>
  <c r="AC15" i="2"/>
  <c r="AB15" i="2"/>
  <c r="AA15" i="2"/>
  <c r="Z15" i="2"/>
  <c r="N15" i="2"/>
  <c r="P15" i="2"/>
  <c r="AR15" i="2"/>
  <c r="AQ15" i="2"/>
  <c r="K15" i="2"/>
  <c r="AO15" i="2"/>
  <c r="AS14" i="2"/>
  <c r="AR14" i="2"/>
  <c r="AQ14" i="2"/>
  <c r="AP14" i="2"/>
  <c r="AO14" i="2"/>
  <c r="AK14" i="2"/>
  <c r="AI14" i="2"/>
  <c r="AH14" i="2"/>
  <c r="AG14" i="2"/>
  <c r="AE14" i="2"/>
  <c r="AD14" i="2"/>
  <c r="AC14" i="2"/>
  <c r="AB14" i="2"/>
  <c r="AA14" i="2"/>
  <c r="Z14" i="2"/>
  <c r="N14" i="2"/>
  <c r="M14" i="2"/>
  <c r="L14" i="2"/>
  <c r="K14" i="2"/>
  <c r="AJ14" i="2"/>
  <c r="AM13" i="2"/>
  <c r="AL13" i="2"/>
  <c r="AK13" i="2"/>
  <c r="AJ13" i="2"/>
  <c r="AI13" i="2"/>
  <c r="AH13" i="2"/>
  <c r="AG13" i="2"/>
  <c r="AE13" i="2"/>
  <c r="AD13" i="2"/>
  <c r="AC13" i="2"/>
  <c r="AB13" i="2"/>
  <c r="AA13" i="2"/>
  <c r="Z13" i="2"/>
  <c r="P13" i="2"/>
  <c r="O13" i="2"/>
  <c r="L13" i="2"/>
  <c r="AP13" i="2"/>
  <c r="AO13" i="2"/>
  <c r="AR12" i="2"/>
  <c r="AP12" i="2"/>
  <c r="AO12" i="2"/>
  <c r="AM12" i="2"/>
  <c r="AL12" i="2"/>
  <c r="AJ12" i="2"/>
  <c r="AI12" i="2"/>
  <c r="AG12" i="2"/>
  <c r="AE12" i="2"/>
  <c r="AD12" i="2"/>
  <c r="AC12" i="2"/>
  <c r="AB12" i="2"/>
  <c r="AA12" i="2"/>
  <c r="Z12" i="2"/>
  <c r="M12" i="2"/>
  <c r="AQ12" i="2"/>
  <c r="AR9" i="2"/>
  <c r="AP9" i="2"/>
  <c r="AM9" i="2"/>
  <c r="AL9" i="2"/>
  <c r="AJ9" i="2"/>
  <c r="AH9" i="2"/>
  <c r="AE9" i="2"/>
  <c r="AD9" i="2"/>
  <c r="AC9" i="2"/>
  <c r="AB9" i="2"/>
  <c r="AA9" i="2"/>
  <c r="Z9" i="2"/>
  <c r="P9" i="2"/>
  <c r="AU9" i="2"/>
  <c r="O9" i="2"/>
  <c r="AK9" i="2"/>
  <c r="AI9" i="2"/>
  <c r="K9" i="2"/>
  <c r="AP8" i="2"/>
  <c r="AO8" i="2"/>
  <c r="AM8" i="2"/>
  <c r="AL8" i="2"/>
  <c r="AK8" i="2"/>
  <c r="AG8" i="2"/>
  <c r="AE8" i="2"/>
  <c r="AD8" i="2"/>
  <c r="AC8" i="2"/>
  <c r="AB8" i="2"/>
  <c r="AA8" i="2"/>
  <c r="Z8" i="2"/>
  <c r="AU7" i="2"/>
  <c r="AQ7" i="2"/>
  <c r="AM7" i="2"/>
  <c r="AL7" i="2"/>
  <c r="AK7" i="2"/>
  <c r="AI7" i="2"/>
  <c r="AH7" i="2"/>
  <c r="AG7" i="2"/>
  <c r="AE7" i="2"/>
  <c r="AD7" i="2"/>
  <c r="AC7" i="2"/>
  <c r="AB7" i="2"/>
  <c r="AA7" i="2"/>
  <c r="Z7" i="2"/>
  <c r="P7" i="2"/>
  <c r="O7" i="2"/>
  <c r="L7" i="2"/>
  <c r="AT7" i="2"/>
  <c r="N7" i="2"/>
  <c r="AP7" i="2"/>
  <c r="AO7" i="2"/>
  <c r="AO118" i="2" l="1"/>
  <c r="AG118" i="2"/>
  <c r="K118" i="2"/>
  <c r="AM145" i="2"/>
  <c r="P145" i="2"/>
  <c r="AQ117" i="2"/>
  <c r="L117" i="2"/>
  <c r="M117" i="2"/>
  <c r="AI117" i="2"/>
  <c r="P17" i="2"/>
  <c r="AM17" i="2"/>
  <c r="AL116" i="2"/>
  <c r="AT116" i="2"/>
  <c r="O116" i="2"/>
  <c r="AH23" i="2"/>
  <c r="K23" i="2"/>
  <c r="AR77" i="2"/>
  <c r="M77" i="2"/>
  <c r="AJ77" i="2"/>
  <c r="AS77" i="2"/>
  <c r="N77" i="2"/>
  <c r="AK77" i="2"/>
  <c r="AT77" i="2"/>
  <c r="O77" i="2"/>
  <c r="AL77" i="2"/>
  <c r="AS135" i="2"/>
  <c r="N135" i="2"/>
  <c r="AK135" i="2"/>
  <c r="AH12" i="2"/>
  <c r="K12" i="2"/>
  <c r="AR22" i="2"/>
  <c r="M22" i="2"/>
  <c r="N22" i="2"/>
  <c r="AJ22" i="2"/>
  <c r="AG40" i="2"/>
  <c r="K40" i="2"/>
  <c r="AM76" i="2"/>
  <c r="AU76" i="2"/>
  <c r="P76" i="2"/>
  <c r="AU77" i="2"/>
  <c r="P77" i="2"/>
  <c r="AM77" i="2"/>
  <c r="K8" i="2"/>
  <c r="AH8" i="2"/>
  <c r="AS30" i="2"/>
  <c r="AK30" i="2"/>
  <c r="N30" i="2"/>
  <c r="L45" i="2"/>
  <c r="AI45" i="2"/>
  <c r="M45" i="2"/>
  <c r="AU136" i="2"/>
  <c r="P136" i="2"/>
  <c r="AM136" i="2"/>
  <c r="AP109" i="2"/>
  <c r="K109" i="2"/>
  <c r="AH109" i="2"/>
  <c r="AO18" i="2"/>
  <c r="AG18" i="2"/>
  <c r="AR109" i="2"/>
  <c r="M109" i="2"/>
  <c r="AJ109" i="2"/>
  <c r="AI23" i="2"/>
  <c r="L23" i="2"/>
  <c r="AQ23" i="2"/>
  <c r="L78" i="2"/>
  <c r="M78" i="2"/>
  <c r="AI78" i="2"/>
  <c r="AJ23" i="2"/>
  <c r="M23" i="2"/>
  <c r="AR23" i="2"/>
  <c r="L154" i="2"/>
  <c r="AO31" i="2"/>
  <c r="AG31" i="2"/>
  <c r="L8" i="2"/>
  <c r="AQ8" i="2"/>
  <c r="AI8" i="2"/>
  <c r="AO111" i="2"/>
  <c r="AG111" i="2"/>
  <c r="K111" i="2"/>
  <c r="AS12" i="2"/>
  <c r="N12" i="2"/>
  <c r="AK12" i="2"/>
  <c r="N39" i="2"/>
  <c r="AK39" i="2"/>
  <c r="AS44" i="2"/>
  <c r="N44" i="2"/>
  <c r="AK44" i="2"/>
  <c r="O8" i="2"/>
  <c r="AT8" i="2"/>
  <c r="P12" i="2"/>
  <c r="P39" i="2"/>
  <c r="AU39" i="2"/>
  <c r="AM39" i="2"/>
  <c r="AT44" i="2"/>
  <c r="O44" i="2"/>
  <c r="AL44" i="2"/>
  <c r="AK61" i="2"/>
  <c r="AS61" i="2"/>
  <c r="N61" i="2"/>
  <c r="P8" i="2"/>
  <c r="AL14" i="2"/>
  <c r="AT14" i="2"/>
  <c r="O14" i="2"/>
  <c r="AM43" i="2"/>
  <c r="AU43" i="2"/>
  <c r="P43" i="2"/>
  <c r="AU44" i="2"/>
  <c r="P44" i="2"/>
  <c r="AM44" i="2"/>
  <c r="AT61" i="2"/>
  <c r="O61" i="2"/>
  <c r="AL61" i="2"/>
  <c r="AG109" i="2"/>
  <c r="AO109" i="2"/>
  <c r="AT17" i="2"/>
  <c r="O17" i="2"/>
  <c r="AL17" i="2"/>
  <c r="P116" i="2"/>
  <c r="AU116" i="2"/>
  <c r="AM116" i="2"/>
  <c r="O135" i="2"/>
  <c r="M62" i="2"/>
  <c r="AR62" i="2"/>
  <c r="AJ62" i="2"/>
  <c r="O12" i="2"/>
  <c r="AT12" i="2"/>
  <c r="AT39" i="2"/>
  <c r="AL39" i="2"/>
  <c r="O39" i="2"/>
  <c r="AL45" i="2"/>
  <c r="AT45" i="2"/>
  <c r="O45" i="2"/>
  <c r="N102" i="2"/>
  <c r="AK102" i="2"/>
  <c r="O102" i="2"/>
  <c r="AU61" i="2"/>
  <c r="P61" i="2"/>
  <c r="AM61" i="2"/>
  <c r="AJ110" i="2"/>
  <c r="M110" i="2"/>
  <c r="AS110" i="2"/>
  <c r="N110" i="2"/>
  <c r="AK110" i="2"/>
  <c r="AR144" i="2"/>
  <c r="M144" i="2"/>
  <c r="AJ144" i="2"/>
  <c r="AM108" i="2"/>
  <c r="AU108" i="2"/>
  <c r="P108" i="2"/>
  <c r="AP154" i="2"/>
  <c r="K154" i="2"/>
  <c r="AH154" i="2"/>
  <c r="AL78" i="2"/>
  <c r="AT78" i="2"/>
  <c r="P78" i="2"/>
  <c r="O78" i="2"/>
  <c r="AI62" i="2"/>
  <c r="L62" i="2"/>
  <c r="AS8" i="2"/>
  <c r="N8" i="2"/>
  <c r="AM14" i="2"/>
  <c r="AU14" i="2"/>
  <c r="P14" i="2"/>
  <c r="AU145" i="2"/>
  <c r="O110" i="2"/>
  <c r="AT110" i="2"/>
  <c r="AL110" i="2"/>
  <c r="AK145" i="2"/>
  <c r="N145" i="2"/>
  <c r="AP146" i="2"/>
  <c r="K146" i="2"/>
  <c r="L146" i="2"/>
  <c r="AH146" i="2"/>
  <c r="AH121" i="2"/>
  <c r="L121" i="2"/>
  <c r="K121" i="2"/>
  <c r="AQ109" i="2"/>
  <c r="L109" i="2"/>
  <c r="AI109" i="2"/>
  <c r="AU115" i="2"/>
  <c r="P115" i="2"/>
  <c r="AM115" i="2"/>
  <c r="AO22" i="2"/>
  <c r="AG22" i="2"/>
  <c r="AP22" i="2"/>
  <c r="K22" i="2"/>
  <c r="AH22" i="2"/>
  <c r="L22" i="2"/>
  <c r="AR8" i="2"/>
  <c r="M8" i="2"/>
  <c r="AJ8" i="2"/>
  <c r="AU100" i="2"/>
  <c r="P100" i="2"/>
  <c r="AM100" i="2"/>
  <c r="AU35" i="2"/>
  <c r="AM35" i="2"/>
  <c r="AP23" i="2"/>
  <c r="K71" i="2"/>
  <c r="AG71" i="2"/>
  <c r="AT145" i="2"/>
  <c r="O145" i="2"/>
  <c r="AL145" i="2"/>
  <c r="AG148" i="2"/>
  <c r="AO148" i="2"/>
  <c r="AU8" i="2"/>
  <c r="AG9" i="2"/>
  <c r="AU23" i="2"/>
  <c r="P23" i="2"/>
  <c r="AL40" i="2"/>
  <c r="AT40" i="2"/>
  <c r="AQ41" i="2"/>
  <c r="L41" i="2"/>
  <c r="AP56" i="2"/>
  <c r="AR64" i="2"/>
  <c r="AP89" i="2"/>
  <c r="L104" i="2"/>
  <c r="AR104" i="2"/>
  <c r="O109" i="2"/>
  <c r="P110" i="2"/>
  <c r="AQ112" i="2"/>
  <c r="L112" i="2"/>
  <c r="AH113" i="2"/>
  <c r="K113" i="2"/>
  <c r="L113" i="2"/>
  <c r="AP113" i="2"/>
  <c r="AT118" i="2"/>
  <c r="O118" i="2"/>
  <c r="AL118" i="2"/>
  <c r="AR138" i="2"/>
  <c r="M138" i="2"/>
  <c r="AJ138" i="2"/>
  <c r="AR139" i="2"/>
  <c r="M139" i="2"/>
  <c r="AS139" i="2"/>
  <c r="K147" i="2"/>
  <c r="AI148" i="2"/>
  <c r="AQ148" i="2"/>
  <c r="P45" i="2"/>
  <c r="N62" i="2"/>
  <c r="AS109" i="2"/>
  <c r="N109" i="2"/>
  <c r="AK109" i="2"/>
  <c r="AS70" i="2"/>
  <c r="N70" i="2"/>
  <c r="AK70" i="2"/>
  <c r="AR154" i="2"/>
  <c r="M154" i="2"/>
  <c r="AJ154" i="2"/>
  <c r="AU12" i="2"/>
  <c r="AS23" i="2"/>
  <c r="AP88" i="2"/>
  <c r="AH88" i="2"/>
  <c r="AQ103" i="2"/>
  <c r="L103" i="2"/>
  <c r="AI103" i="2"/>
  <c r="AR41" i="2"/>
  <c r="M41" i="2"/>
  <c r="AJ41" i="2"/>
  <c r="AQ56" i="2"/>
  <c r="O70" i="2"/>
  <c r="AR112" i="2"/>
  <c r="M112" i="2"/>
  <c r="AJ112" i="2"/>
  <c r="AR32" i="2"/>
  <c r="AR56" i="2"/>
  <c r="P70" i="2"/>
  <c r="AO149" i="2"/>
  <c r="AG149" i="2"/>
  <c r="AP15" i="2"/>
  <c r="AR19" i="2"/>
  <c r="N23" i="2"/>
  <c r="AQ74" i="2"/>
  <c r="L74" i="2"/>
  <c r="AS89" i="2"/>
  <c r="N89" i="2"/>
  <c r="AO9" i="2"/>
  <c r="L18" i="2"/>
  <c r="O42" i="2"/>
  <c r="AT42" i="2"/>
  <c r="L58" i="2"/>
  <c r="K64" i="2"/>
  <c r="N103" i="2"/>
  <c r="P121" i="2"/>
  <c r="O139" i="2"/>
  <c r="AU147" i="2"/>
  <c r="P147" i="2"/>
  <c r="AM147" i="2"/>
  <c r="AU19" i="2"/>
  <c r="P19" i="2"/>
  <c r="AP26" i="2"/>
  <c r="K26" i="2"/>
  <c r="AH26" i="2"/>
  <c r="AU42" i="2"/>
  <c r="K56" i="2"/>
  <c r="L64" i="2"/>
  <c r="AS74" i="2"/>
  <c r="N74" i="2"/>
  <c r="AK74" i="2"/>
  <c r="L88" i="2"/>
  <c r="AU89" i="2"/>
  <c r="P89" i="2"/>
  <c r="O103" i="2"/>
  <c r="AP106" i="2"/>
  <c r="K106" i="2"/>
  <c r="AH106" i="2"/>
  <c r="AS134" i="2"/>
  <c r="AS142" i="2"/>
  <c r="N142" i="2"/>
  <c r="AK142" i="2"/>
  <c r="L148" i="2"/>
  <c r="L150" i="2"/>
  <c r="AQ150" i="2"/>
  <c r="AR7" i="2"/>
  <c r="M7" i="2"/>
  <c r="AJ7" i="2"/>
  <c r="AQ9" i="2"/>
  <c r="K13" i="2"/>
  <c r="AT13" i="2"/>
  <c r="AU15" i="2"/>
  <c r="K19" i="2"/>
  <c r="P32" i="2"/>
  <c r="K42" i="2"/>
  <c r="L56" i="2"/>
  <c r="M64" i="2"/>
  <c r="N65" i="2"/>
  <c r="AS65" i="2"/>
  <c r="K72" i="2"/>
  <c r="AT74" i="2"/>
  <c r="O74" i="2"/>
  <c r="AL74" i="2"/>
  <c r="AK75" i="2"/>
  <c r="AS75" i="2"/>
  <c r="K89" i="2"/>
  <c r="AP100" i="2"/>
  <c r="AQ106" i="2"/>
  <c r="L106" i="2"/>
  <c r="AI106" i="2"/>
  <c r="AO116" i="2"/>
  <c r="AO143" i="2"/>
  <c r="K143" i="2"/>
  <c r="M148" i="2"/>
  <c r="AR150" i="2"/>
  <c r="N64" i="2"/>
  <c r="AH90" i="2"/>
  <c r="K90" i="2"/>
  <c r="AP90" i="2"/>
  <c r="L46" i="2"/>
  <c r="K148" i="2"/>
  <c r="AU13" i="2"/>
  <c r="AR106" i="2"/>
  <c r="M106" i="2"/>
  <c r="AJ106" i="2"/>
  <c r="P113" i="2"/>
  <c r="AS150" i="2"/>
  <c r="N150" i="2"/>
  <c r="AR70" i="2"/>
  <c r="M70" i="2"/>
  <c r="O30" i="2"/>
  <c r="AP138" i="2"/>
  <c r="K138" i="2"/>
  <c r="AH138" i="2"/>
  <c r="AH104" i="2"/>
  <c r="K104" i="2"/>
  <c r="AS41" i="2"/>
  <c r="N41" i="2"/>
  <c r="AK41" i="2"/>
  <c r="AT41" i="2"/>
  <c r="O41" i="2"/>
  <c r="AS56" i="2"/>
  <c r="N56" i="2"/>
  <c r="AK56" i="2"/>
  <c r="L132" i="2"/>
  <c r="AQ132" i="2"/>
  <c r="P139" i="2"/>
  <c r="AU139" i="2"/>
  <c r="AS19" i="2"/>
  <c r="N19" i="2"/>
  <c r="AK19" i="2"/>
  <c r="K46" i="2"/>
  <c r="O113" i="2"/>
  <c r="AT113" i="2"/>
  <c r="AO26" i="2"/>
  <c r="AG26" i="2"/>
  <c r="P40" i="2"/>
  <c r="AT89" i="2"/>
  <c r="O89" i="2"/>
  <c r="AR122" i="2"/>
  <c r="M122" i="2"/>
  <c r="N122" i="2"/>
  <c r="K150" i="2"/>
  <c r="O75" i="2"/>
  <c r="AT75" i="2"/>
  <c r="L89" i="2"/>
  <c r="L9" i="2"/>
  <c r="AS9" i="2"/>
  <c r="M25" i="2"/>
  <c r="AO60" i="2"/>
  <c r="AG60" i="2"/>
  <c r="M68" i="2"/>
  <c r="AQ68" i="2"/>
  <c r="M89" i="2"/>
  <c r="AM90" i="2"/>
  <c r="P90" i="2"/>
  <c r="AU90" i="2"/>
  <c r="AR91" i="2"/>
  <c r="AJ91" i="2"/>
  <c r="M105" i="2"/>
  <c r="K149" i="2"/>
  <c r="AT150" i="2"/>
  <c r="O150" i="2"/>
  <c r="AJ71" i="2"/>
  <c r="M71" i="2"/>
  <c r="AT23" i="2"/>
  <c r="O23" i="2"/>
  <c r="AQ32" i="2"/>
  <c r="AU118" i="2"/>
  <c r="P118" i="2"/>
  <c r="AM118" i="2"/>
  <c r="AU121" i="2"/>
  <c r="AT138" i="2"/>
  <c r="O138" i="2"/>
  <c r="AL138" i="2"/>
  <c r="AS32" i="2"/>
  <c r="AP42" i="2"/>
  <c r="O104" i="2"/>
  <c r="AT104" i="2"/>
  <c r="AS147" i="2"/>
  <c r="N147" i="2"/>
  <c r="AS13" i="2"/>
  <c r="N13" i="2"/>
  <c r="AK42" i="2"/>
  <c r="AS42" i="2"/>
  <c r="L75" i="2"/>
  <c r="K75" i="2"/>
  <c r="M132" i="2"/>
  <c r="N138" i="2"/>
  <c r="AQ149" i="2"/>
  <c r="L149" i="2"/>
  <c r="AI149" i="2"/>
  <c r="AT19" i="2"/>
  <c r="O19" i="2"/>
  <c r="AU56" i="2"/>
  <c r="P56" i="2"/>
  <c r="AQ13" i="2"/>
  <c r="N58" i="2"/>
  <c r="AR58" i="2"/>
  <c r="AP20" i="2"/>
  <c r="AR26" i="2"/>
  <c r="AJ26" i="2"/>
  <c r="AI107" i="2"/>
  <c r="L107" i="2"/>
  <c r="AQ107" i="2"/>
  <c r="M9" i="2"/>
  <c r="AT9" i="2"/>
  <c r="AR29" i="2"/>
  <c r="AR35" i="2"/>
  <c r="M35" i="2"/>
  <c r="AQ44" i="2"/>
  <c r="AM45" i="2"/>
  <c r="K58" i="2"/>
  <c r="AQ61" i="2"/>
  <c r="AT66" i="2"/>
  <c r="AL66" i="2"/>
  <c r="N68" i="2"/>
  <c r="AR68" i="2"/>
  <c r="P74" i="2"/>
  <c r="L90" i="2"/>
  <c r="M100" i="2"/>
  <c r="N105" i="2"/>
  <c r="N107" i="2"/>
  <c r="AS107" i="2"/>
  <c r="AT109" i="2"/>
  <c r="AM110" i="2"/>
  <c r="AR115" i="2"/>
  <c r="M115" i="2"/>
  <c r="AI116" i="2"/>
  <c r="M116" i="2"/>
  <c r="L116" i="2"/>
  <c r="AU141" i="2"/>
  <c r="P141" i="2"/>
  <c r="AM141" i="2"/>
  <c r="M149" i="2"/>
  <c r="AJ121" i="2"/>
  <c r="M121" i="2"/>
  <c r="N121" i="2"/>
  <c r="AR31" i="2"/>
  <c r="M31" i="2"/>
  <c r="AJ31" i="2"/>
  <c r="N71" i="2"/>
  <c r="AS71" i="2"/>
  <c r="AT31" i="2"/>
  <c r="AL31" i="2"/>
  <c r="AR13" i="2"/>
  <c r="M13" i="2"/>
  <c r="AQ19" i="2"/>
  <c r="AK113" i="2"/>
  <c r="AS113" i="2"/>
  <c r="AU64" i="2"/>
  <c r="P64" i="2"/>
  <c r="O71" i="2"/>
  <c r="M103" i="2"/>
  <c r="AT15" i="2"/>
  <c r="O15" i="2"/>
  <c r="AL15" i="2"/>
  <c r="L32" i="2"/>
  <c r="AR74" i="2"/>
  <c r="M74" i="2"/>
  <c r="AJ74" i="2"/>
  <c r="N104" i="2"/>
  <c r="AP150" i="2"/>
  <c r="P41" i="2"/>
  <c r="L15" i="2"/>
  <c r="L19" i="2"/>
  <c r="L25" i="2"/>
  <c r="AP35" i="2"/>
  <c r="K35" i="2"/>
  <c r="AU34" i="2"/>
  <c r="AM34" i="2"/>
  <c r="AS35" i="2"/>
  <c r="N35" i="2"/>
  <c r="AK35" i="2"/>
  <c r="AO45" i="2"/>
  <c r="M58" i="2"/>
  <c r="O68" i="2"/>
  <c r="AT68" i="2"/>
  <c r="AS68" i="2"/>
  <c r="N75" i="2"/>
  <c r="N100" i="2"/>
  <c r="AG110" i="2"/>
  <c r="K110" i="2"/>
  <c r="AO110" i="2"/>
  <c r="AS115" i="2"/>
  <c r="N115" i="2"/>
  <c r="AK115" i="2"/>
  <c r="N134" i="2"/>
  <c r="AQ135" i="2"/>
  <c r="L135" i="2"/>
  <c r="AI135" i="2"/>
  <c r="AH136" i="2"/>
  <c r="K136" i="2"/>
  <c r="AP136" i="2"/>
  <c r="O141" i="2"/>
  <c r="M142" i="2"/>
  <c r="K144" i="2"/>
  <c r="AP144" i="2"/>
  <c r="AJ153" i="2"/>
  <c r="M153" i="2"/>
  <c r="AR153" i="2"/>
  <c r="AO63" i="2"/>
  <c r="AG63" i="2"/>
  <c r="AQ154" i="2"/>
  <c r="AI154" i="2"/>
  <c r="AU109" i="2"/>
  <c r="P109" i="2"/>
  <c r="AI139" i="2"/>
  <c r="L139" i="2"/>
  <c r="P71" i="2"/>
  <c r="AU71" i="2"/>
  <c r="AQ25" i="2"/>
  <c r="O32" i="2"/>
  <c r="AS112" i="2"/>
  <c r="N112" i="2"/>
  <c r="AK112" i="2"/>
  <c r="O64" i="2"/>
  <c r="AT112" i="2"/>
  <c r="O112" i="2"/>
  <c r="AL112" i="2"/>
  <c r="N154" i="2"/>
  <c r="K18" i="2"/>
  <c r="N25" i="2"/>
  <c r="AT32" i="2"/>
  <c r="O40" i="2"/>
  <c r="AT56" i="2"/>
  <c r="O56" i="2"/>
  <c r="AU104" i="2"/>
  <c r="P104" i="2"/>
  <c r="P31" i="2"/>
  <c r="AO66" i="2"/>
  <c r="AG66" i="2"/>
  <c r="K88" i="2"/>
  <c r="AS132" i="2"/>
  <c r="AK132" i="2"/>
  <c r="P112" i="2"/>
  <c r="AS141" i="2"/>
  <c r="N141" i="2"/>
  <c r="AK141" i="2"/>
  <c r="AS7" i="2"/>
  <c r="N9" i="2"/>
  <c r="AS17" i="2"/>
  <c r="N17" i="2"/>
  <c r="K20" i="2"/>
  <c r="M26" i="2"/>
  <c r="AU29" i="2"/>
  <c r="P29" i="2"/>
  <c r="AT29" i="2"/>
  <c r="AJ39" i="2"/>
  <c r="M39" i="2"/>
  <c r="AR44" i="2"/>
  <c r="M44" i="2"/>
  <c r="AJ44" i="2"/>
  <c r="K45" i="2"/>
  <c r="AP45" i="2"/>
  <c r="AR60" i="2"/>
  <c r="AJ60" i="2"/>
  <c r="AJ70" i="2"/>
  <c r="K78" i="2"/>
  <c r="AO78" i="2"/>
  <c r="AT100" i="2"/>
  <c r="O100" i="2"/>
  <c r="AI104" i="2"/>
  <c r="N106" i="2"/>
  <c r="P107" i="2"/>
  <c r="AT115" i="2"/>
  <c r="O115" i="2"/>
  <c r="AL115" i="2"/>
  <c r="O134" i="2"/>
  <c r="M135" i="2"/>
  <c r="AQ136" i="2"/>
  <c r="L136" i="2"/>
  <c r="AG138" i="2"/>
  <c r="O142" i="2"/>
  <c r="AG147" i="2"/>
  <c r="AG43" i="2"/>
  <c r="AG46" i="2"/>
  <c r="AM69" i="2"/>
  <c r="AG76" i="2"/>
  <c r="AG88" i="2"/>
  <c r="AK105" i="2"/>
  <c r="AP122" i="2"/>
  <c r="K122" i="2"/>
  <c r="AH122" i="2"/>
  <c r="AR136" i="2"/>
  <c r="AP147" i="2"/>
  <c r="AS25" i="2"/>
  <c r="AS62" i="2"/>
  <c r="AP132" i="2"/>
  <c r="K132" i="2"/>
  <c r="AR147" i="2"/>
  <c r="M147" i="2"/>
  <c r="AQ147" i="2"/>
  <c r="AS34" i="2"/>
  <c r="AJ63" i="2"/>
  <c r="AS69" i="2"/>
  <c r="AG103" i="2"/>
  <c r="AU107" i="2"/>
  <c r="AP114" i="2"/>
  <c r="K114" i="2"/>
  <c r="AS140" i="2"/>
  <c r="AQ144" i="2"/>
  <c r="L144" i="2"/>
  <c r="AU140" i="2"/>
  <c r="AP31" i="2"/>
  <c r="K31" i="2"/>
  <c r="AP60" i="2"/>
  <c r="K60" i="2"/>
  <c r="AP63" i="2"/>
  <c r="K63" i="2"/>
  <c r="AP66" i="2"/>
  <c r="K66" i="2"/>
  <c r="AT72" i="2"/>
  <c r="M90" i="2"/>
  <c r="AT111" i="2"/>
  <c r="AT132" i="2"/>
  <c r="O132" i="2"/>
  <c r="K7" i="2"/>
  <c r="L12" i="2"/>
  <c r="M15" i="2"/>
  <c r="AQ26" i="2"/>
  <c r="L26" i="2"/>
  <c r="M30" i="2"/>
  <c r="AQ31" i="2"/>
  <c r="L31" i="2"/>
  <c r="AQ63" i="2"/>
  <c r="L63" i="2"/>
  <c r="M65" i="2"/>
  <c r="AQ66" i="2"/>
  <c r="L66" i="2"/>
  <c r="L102" i="2"/>
  <c r="AS108" i="2"/>
  <c r="AU132" i="2"/>
  <c r="P132" i="2"/>
  <c r="P143" i="2"/>
  <c r="AT144" i="2"/>
  <c r="O144" i="2"/>
  <c r="AL144" i="2"/>
  <c r="K153" i="2"/>
  <c r="AP91" i="2"/>
  <c r="K91" i="2"/>
  <c r="AR66" i="2"/>
  <c r="M66" i="2"/>
  <c r="AP70" i="2"/>
  <c r="K70" i="2"/>
  <c r="AP141" i="2"/>
  <c r="K141" i="2"/>
  <c r="AQ35" i="2"/>
  <c r="L35" i="2"/>
  <c r="AQ70" i="2"/>
  <c r="L70" i="2"/>
  <c r="AP103" i="2"/>
  <c r="K103" i="2"/>
  <c r="AS118" i="2"/>
  <c r="N118" i="2"/>
  <c r="AQ141" i="2"/>
  <c r="L141" i="2"/>
  <c r="AP145" i="2"/>
  <c r="AU148" i="2"/>
  <c r="P148" i="2"/>
  <c r="AT148" i="2"/>
  <c r="AK18" i="2"/>
  <c r="AL22" i="2"/>
  <c r="AM26" i="2"/>
  <c r="AG30" i="2"/>
  <c r="AH34" i="2"/>
  <c r="AI40" i="2"/>
  <c r="AJ43" i="2"/>
  <c r="AK46" i="2"/>
  <c r="AL60" i="2"/>
  <c r="AM63" i="2"/>
  <c r="AG65" i="2"/>
  <c r="AH69" i="2"/>
  <c r="AI72" i="2"/>
  <c r="AJ76" i="2"/>
  <c r="AK88" i="2"/>
  <c r="AL91" i="2"/>
  <c r="AM103" i="2"/>
  <c r="AG105" i="2"/>
  <c r="AH108" i="2"/>
  <c r="AI111" i="2"/>
  <c r="AJ114" i="2"/>
  <c r="AK117" i="2"/>
  <c r="AL122" i="2"/>
  <c r="AM135" i="2"/>
  <c r="AG137" i="2"/>
  <c r="AH140" i="2"/>
  <c r="AI143" i="2"/>
  <c r="AL154" i="2"/>
  <c r="AL18" i="2"/>
  <c r="AM22" i="2"/>
  <c r="AG25" i="2"/>
  <c r="AH30" i="2"/>
  <c r="AI34" i="2"/>
  <c r="AJ40" i="2"/>
  <c r="AK43" i="2"/>
  <c r="AL46" i="2"/>
  <c r="AM60" i="2"/>
  <c r="AG62" i="2"/>
  <c r="AH65" i="2"/>
  <c r="AI69" i="2"/>
  <c r="AJ72" i="2"/>
  <c r="AK76" i="2"/>
  <c r="AL88" i="2"/>
  <c r="AM91" i="2"/>
  <c r="AG102" i="2"/>
  <c r="AH105" i="2"/>
  <c r="AI108" i="2"/>
  <c r="AJ111" i="2"/>
  <c r="AK114" i="2"/>
  <c r="AL117" i="2"/>
  <c r="AM122" i="2"/>
  <c r="AG134" i="2"/>
  <c r="AH137" i="2"/>
  <c r="AI140" i="2"/>
  <c r="AJ143" i="2"/>
  <c r="AK146" i="2"/>
  <c r="AL149" i="2"/>
  <c r="AM154" i="2"/>
  <c r="K135" i="2"/>
  <c r="L138" i="2"/>
  <c r="M141" i="2"/>
  <c r="N144" i="2"/>
  <c r="O147" i="2"/>
  <c r="P150" i="2"/>
  <c r="N18" i="2"/>
  <c r="O22" i="2"/>
  <c r="P26" i="2"/>
  <c r="K34" i="2"/>
  <c r="L40" i="2"/>
  <c r="M43" i="2"/>
  <c r="N46" i="2"/>
  <c r="O60" i="2"/>
  <c r="P63" i="2"/>
  <c r="K69" i="2"/>
  <c r="L72" i="2"/>
  <c r="M76" i="2"/>
  <c r="N88" i="2"/>
  <c r="O91" i="2"/>
  <c r="P103" i="2"/>
  <c r="K108" i="2"/>
  <c r="L111" i="2"/>
  <c r="M114" i="2"/>
  <c r="N117" i="2"/>
  <c r="O122" i="2"/>
  <c r="P135" i="2"/>
  <c r="K140" i="2"/>
  <c r="L143" i="2"/>
  <c r="M146" i="2"/>
  <c r="N149" i="2"/>
  <c r="O154" i="2"/>
  <c r="O18" i="2"/>
  <c r="P22" i="2"/>
  <c r="K30" i="2"/>
  <c r="L34" i="2"/>
  <c r="M40" i="2"/>
  <c r="N43" i="2"/>
  <c r="O46" i="2"/>
  <c r="P60" i="2"/>
  <c r="K65" i="2"/>
  <c r="L69" i="2"/>
  <c r="M72" i="2"/>
  <c r="N76" i="2"/>
  <c r="O88" i="2"/>
  <c r="P91" i="2"/>
  <c r="K105" i="2"/>
  <c r="L108" i="2"/>
  <c r="M111" i="2"/>
  <c r="N114" i="2"/>
  <c r="O117" i="2"/>
  <c r="P122" i="2"/>
  <c r="K137" i="2"/>
  <c r="L140" i="2"/>
  <c r="M143" i="2"/>
  <c r="N146" i="2"/>
  <c r="O149" i="2"/>
  <c r="P154" i="2"/>
</calcChain>
</file>

<file path=xl/sharedStrings.xml><?xml version="1.0" encoding="utf-8"?>
<sst xmlns="http://schemas.openxmlformats.org/spreadsheetml/2006/main" count="340" uniqueCount="79">
  <si>
    <t>California tourism summary (millions)</t>
  </si>
  <si>
    <t>California tourism summary (% change)</t>
  </si>
  <si>
    <t>Forecast  &gt;&gt;</t>
  </si>
  <si>
    <t>Total visits</t>
  </si>
  <si>
    <t>Business</t>
  </si>
  <si>
    <t>Leisure</t>
  </si>
  <si>
    <t>Domestic</t>
  </si>
  <si>
    <t>Total</t>
  </si>
  <si>
    <t>Day</t>
  </si>
  <si>
    <t>Overnight</t>
  </si>
  <si>
    <t>Paid accom.</t>
  </si>
  <si>
    <t>Unpaid accom.</t>
  </si>
  <si>
    <t>Gateway</t>
  </si>
  <si>
    <t>Rural/Other</t>
  </si>
  <si>
    <t>Fly</t>
  </si>
  <si>
    <t>Drive</t>
  </si>
  <si>
    <t>International</t>
  </si>
  <si>
    <t>Overseas</t>
  </si>
  <si>
    <t>Mexico</t>
  </si>
  <si>
    <t>Canada</t>
  </si>
  <si>
    <t>Total travel spending      (billions)</t>
  </si>
  <si>
    <t xml:space="preserve"> </t>
  </si>
  <si>
    <t>Annual domestic leisure trips to California (millions)</t>
  </si>
  <si>
    <t>California</t>
  </si>
  <si>
    <t>Western markets</t>
  </si>
  <si>
    <t>Arizona</t>
  </si>
  <si>
    <t>Colorado</t>
  </si>
  <si>
    <t>Nevada</t>
  </si>
  <si>
    <t>Oregon</t>
  </si>
  <si>
    <t>Utah</t>
  </si>
  <si>
    <t>Washington</t>
  </si>
  <si>
    <t>Rest of West</t>
  </si>
  <si>
    <t>Idaho</t>
  </si>
  <si>
    <t>Montana</t>
  </si>
  <si>
    <t>New Mexico</t>
  </si>
  <si>
    <t>Wyoming</t>
  </si>
  <si>
    <t>Rest of US</t>
  </si>
  <si>
    <t>Illinois</t>
  </si>
  <si>
    <t>New York</t>
  </si>
  <si>
    <t>Texas</t>
  </si>
  <si>
    <t>Annual domestic travel spending in California (billions)</t>
  </si>
  <si>
    <t>Annual international trips to California (thousands)</t>
  </si>
  <si>
    <t>China</t>
  </si>
  <si>
    <t>India</t>
  </si>
  <si>
    <t>Japan</t>
  </si>
  <si>
    <t>South Korea</t>
  </si>
  <si>
    <t>Australia</t>
  </si>
  <si>
    <t>United Kingdom</t>
  </si>
  <si>
    <t>Germany</t>
  </si>
  <si>
    <t>France</t>
  </si>
  <si>
    <t>Italy</t>
  </si>
  <si>
    <t>Nordics</t>
  </si>
  <si>
    <t>Brazil</t>
  </si>
  <si>
    <t>Middle East</t>
  </si>
  <si>
    <t>Land</t>
  </si>
  <si>
    <t>Air</t>
  </si>
  <si>
    <t>Rest of World</t>
  </si>
  <si>
    <t>Annual international travel spending in California (billions)</t>
  </si>
  <si>
    <t>Source: Tourism Economics; STR; Longwoods (domestic); OAG (air traffic); NTTO (international); Dean Runyan (spending); BTS</t>
  </si>
  <si>
    <t>Source: Tourism Economics; STR; Longwoods (domestic); OAG (air traffic); Dean Runyan (spending)</t>
  </si>
  <si>
    <t>Source: Tourism Economics; STR; Longwoods (domestic); OAG (air traffic);  Dean Runyan (spending)</t>
  </si>
  <si>
    <t>Source: Tourism Economics, NTTO; STR; OAG (air traffic); BTS</t>
  </si>
  <si>
    <t>Source: Tourism Economics; NTTO; BEA; Dean Runyon</t>
  </si>
  <si>
    <t>n/a</t>
  </si>
  <si>
    <t>Group</t>
  </si>
  <si>
    <t>Annual international travel spending (% change)</t>
  </si>
  <si>
    <t>Annual international trips (% change)</t>
  </si>
  <si>
    <t>Annual domestic travel spending (% change)</t>
  </si>
  <si>
    <t>Annual domestic leisure trips (% change)</t>
  </si>
  <si>
    <t>Prelim</t>
  </si>
  <si>
    <t>Current: May 2026</t>
  </si>
  <si>
    <t>Previous: Feb 2026</t>
  </si>
  <si>
    <t>Current - Previous</t>
  </si>
  <si>
    <t>% Difference, Current vs Previous</t>
  </si>
  <si>
    <t>Total travel spending      ($ billions)</t>
  </si>
  <si>
    <t>Source: Tourism Economics; STR; Omnitrak (domestic); OAG (air traffic); NTTO (international); Dean Runyan (spending); VisaVue; BTS</t>
  </si>
  <si>
    <t>Source: Tourism Economics; STR; Omnitrak (domestic); OAG (air traffic);  Dean Runyan (spending); VisaVue</t>
  </si>
  <si>
    <t>Source: NTTO; STR; OAG (air traffic); BTS; VisaVue; Tourism Economics</t>
  </si>
  <si>
    <t>Source: NTTO; BEA; Tourism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</si>
</sst>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#,##0.0"/>
    <numFmt numFmtId="165" formatCode="0.0%"/>
    <numFmt numFmtId="166" formatCode="&quot;$&quot;#,##0.00"/>
    <numFmt numFmtId="167" formatCode="&quot;$&quot;#,##0"/>
    <numFmt numFmtId="168" formatCode="0.0"/>
    <numFmt numFmtId="169" formatCode="_(&quot;$&quot;* #,##0_);_(&quot;$&quot;* \(#,##0\);_(&quot;$&quot;* &quot;-&quot;??_);_(@_)"/>
    <numFmt numFmtId="170" formatCode="&quot;$&quot;#,##0.0"/>
    <numFmt numFmtId="171" formatCode="_(&quot;$&quot;* #,##0.0_);_(&quot;$&quot;* \(#,##0.0\);_(&quot;$&quot;* &quot;-&quot;??_);_(@_)"/>
  </numFmts>
  <fonts count="11" x14ac:knownFonts="1">
    <font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7"/>
      <color theme="0" tint="-0.499984740745262"/>
      <name val="Arial"/>
      <family val="2"/>
    </font>
    <font>
      <sz val="9"/>
      <name val="Arial"/>
      <family val="2"/>
    </font>
    <font>
      <sz val="7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21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4" fillId="2" borderId="1" xfId="0" applyFont="1" applyFill="1" applyBorder="1"/>
    <xf numFmtId="0" fontId="4" fillId="3" borderId="1" xfId="0" applyFont="1" applyFill="1" applyBorder="1"/>
    <xf numFmtId="0" fontId="4" fillId="2" borderId="0" xfId="0" applyFont="1" applyFill="1"/>
    <xf numFmtId="0" fontId="3" fillId="3" borderId="0" xfId="0" applyFont="1" applyFill="1"/>
    <xf numFmtId="164" fontId="4" fillId="2" borderId="0" xfId="0" applyNumberFormat="1" applyFont="1" applyFill="1"/>
    <xf numFmtId="164" fontId="4" fillId="3" borderId="0" xfId="0" applyNumberFormat="1" applyFont="1" applyFill="1"/>
    <xf numFmtId="9" fontId="4" fillId="2" borderId="0" xfId="2" applyFont="1" applyFill="1"/>
    <xf numFmtId="3" fontId="4" fillId="2" borderId="0" xfId="0" applyNumberFormat="1" applyFont="1" applyFill="1"/>
    <xf numFmtId="164" fontId="3" fillId="2" borderId="0" xfId="0" applyNumberFormat="1" applyFont="1" applyFill="1"/>
    <xf numFmtId="0" fontId="3" fillId="2" borderId="0" xfId="0" applyFont="1" applyFill="1" applyAlignment="1">
      <alignment horizontal="left" indent="1"/>
    </xf>
    <xf numFmtId="164" fontId="3" fillId="3" borderId="0" xfId="0" applyNumberFormat="1" applyFont="1" applyFill="1"/>
    <xf numFmtId="9" fontId="3" fillId="2" borderId="0" xfId="2" applyFont="1" applyFill="1"/>
    <xf numFmtId="165" fontId="3" fillId="2" borderId="0" xfId="2" applyNumberFormat="1" applyFont="1" applyFill="1"/>
    <xf numFmtId="3" fontId="3" fillId="2" borderId="0" xfId="0" applyNumberFormat="1" applyFont="1" applyFill="1"/>
    <xf numFmtId="3" fontId="3" fillId="3" borderId="0" xfId="0" applyNumberFormat="1" applyFont="1" applyFill="1"/>
    <xf numFmtId="0" fontId="4" fillId="2" borderId="0" xfId="0" applyFont="1" applyFill="1" applyAlignment="1">
      <alignment horizontal="left" indent="1"/>
    </xf>
    <xf numFmtId="0" fontId="6" fillId="4" borderId="0" xfId="3" applyFont="1" applyFill="1" applyAlignment="1">
      <alignment horizontal="left" indent="2"/>
    </xf>
    <xf numFmtId="0" fontId="5" fillId="4" borderId="0" xfId="3" applyFill="1" applyAlignment="1">
      <alignment horizontal="left" indent="3"/>
    </xf>
    <xf numFmtId="0" fontId="5" fillId="4" borderId="0" xfId="3" applyFill="1" applyAlignment="1">
      <alignment horizontal="left" indent="4"/>
    </xf>
    <xf numFmtId="0" fontId="4" fillId="2" borderId="1" xfId="0" applyFont="1" applyFill="1" applyBorder="1" applyAlignment="1">
      <alignment horizontal="left" indent="1"/>
    </xf>
    <xf numFmtId="3" fontId="3" fillId="2" borderId="1" xfId="0" applyNumberFormat="1" applyFont="1" applyFill="1" applyBorder="1"/>
    <xf numFmtId="3" fontId="3" fillId="3" borderId="1" xfId="0" applyNumberFormat="1" applyFont="1" applyFill="1" applyBorder="1"/>
    <xf numFmtId="167" fontId="4" fillId="2" borderId="0" xfId="0" applyNumberFormat="1" applyFont="1" applyFill="1"/>
    <xf numFmtId="167" fontId="4" fillId="3" borderId="0" xfId="0" applyNumberFormat="1" applyFont="1" applyFill="1"/>
    <xf numFmtId="0" fontId="6" fillId="4" borderId="0" xfId="3" applyFont="1" applyFill="1" applyAlignment="1">
      <alignment horizontal="left" indent="1"/>
    </xf>
    <xf numFmtId="167" fontId="3" fillId="2" borderId="0" xfId="1" applyNumberFormat="1" applyFont="1" applyFill="1"/>
    <xf numFmtId="167" fontId="3" fillId="3" borderId="0" xfId="1" applyNumberFormat="1" applyFont="1" applyFill="1"/>
    <xf numFmtId="0" fontId="5" fillId="4" borderId="0" xfId="3" applyFill="1" applyAlignment="1">
      <alignment horizontal="left" indent="2"/>
    </xf>
    <xf numFmtId="3" fontId="7" fillId="2" borderId="0" xfId="0" applyNumberFormat="1" applyFont="1" applyFill="1"/>
    <xf numFmtId="167" fontId="4" fillId="2" borderId="0" xfId="1" applyNumberFormat="1" applyFont="1" applyFill="1"/>
    <xf numFmtId="167" fontId="4" fillId="3" borderId="0" xfId="1" applyNumberFormat="1" applyFont="1" applyFill="1"/>
    <xf numFmtId="0" fontId="3" fillId="2" borderId="1" xfId="0" applyFont="1" applyFill="1" applyBorder="1"/>
    <xf numFmtId="0" fontId="3" fillId="3" borderId="1" xfId="0" applyFont="1" applyFill="1" applyBorder="1"/>
    <xf numFmtId="0" fontId="8" fillId="2" borderId="2" xfId="0" applyFont="1" applyFill="1" applyBorder="1"/>
    <xf numFmtId="0" fontId="8" fillId="2" borderId="0" xfId="0" applyFont="1" applyFill="1"/>
    <xf numFmtId="0" fontId="6" fillId="4" borderId="0" xfId="3" applyFont="1" applyFill="1"/>
    <xf numFmtId="168" fontId="6" fillId="4" borderId="0" xfId="3" applyNumberFormat="1" applyFont="1" applyFill="1"/>
    <xf numFmtId="168" fontId="6" fillId="2" borderId="0" xfId="3" applyNumberFormat="1" applyFont="1" applyFill="1"/>
    <xf numFmtId="168" fontId="6" fillId="3" borderId="0" xfId="3" applyNumberFormat="1" applyFont="1" applyFill="1"/>
    <xf numFmtId="165" fontId="4" fillId="2" borderId="0" xfId="2" applyNumberFormat="1" applyFont="1" applyFill="1"/>
    <xf numFmtId="168" fontId="4" fillId="2" borderId="0" xfId="0" applyNumberFormat="1" applyFont="1" applyFill="1"/>
    <xf numFmtId="168" fontId="4" fillId="3" borderId="0" xfId="0" applyNumberFormat="1" applyFont="1" applyFill="1"/>
    <xf numFmtId="168" fontId="3" fillId="2" borderId="0" xfId="0" applyNumberFormat="1" applyFont="1" applyFill="1"/>
    <xf numFmtId="168" fontId="3" fillId="3" borderId="0" xfId="0" applyNumberFormat="1" applyFont="1" applyFill="1"/>
    <xf numFmtId="0" fontId="9" fillId="4" borderId="1" xfId="3" applyFont="1" applyFill="1" applyBorder="1"/>
    <xf numFmtId="167" fontId="3" fillId="2" borderId="0" xfId="0" applyNumberFormat="1" applyFont="1" applyFill="1"/>
    <xf numFmtId="167" fontId="3" fillId="3" borderId="0" xfId="0" applyNumberFormat="1" applyFont="1" applyFill="1"/>
    <xf numFmtId="3" fontId="4" fillId="3" borderId="0" xfId="0" applyNumberFormat="1" applyFont="1" applyFill="1"/>
    <xf numFmtId="3" fontId="7" fillId="3" borderId="0" xfId="0" applyNumberFormat="1" applyFont="1" applyFill="1"/>
    <xf numFmtId="0" fontId="7" fillId="2" borderId="0" xfId="0" applyFont="1" applyFill="1" applyAlignment="1">
      <alignment horizontal="left" indent="2"/>
    </xf>
    <xf numFmtId="9" fontId="7" fillId="2" borderId="0" xfId="2" applyFont="1" applyFill="1"/>
    <xf numFmtId="165" fontId="3" fillId="2" borderId="1" xfId="2" applyNumberFormat="1" applyFont="1" applyFill="1" applyBorder="1"/>
    <xf numFmtId="0" fontId="4" fillId="2" borderId="0" xfId="0" applyFont="1" applyFill="1" applyAlignment="1">
      <alignment horizontal="left" indent="2"/>
    </xf>
    <xf numFmtId="0" fontId="8" fillId="2" borderId="0" xfId="0" applyFont="1" applyFill="1" applyAlignment="1">
      <alignment horizontal="left"/>
    </xf>
    <xf numFmtId="170" fontId="4" fillId="2" borderId="0" xfId="1" applyNumberFormat="1" applyFont="1" applyFill="1"/>
    <xf numFmtId="170" fontId="4" fillId="3" borderId="0" xfId="1" applyNumberFormat="1" applyFont="1" applyFill="1"/>
    <xf numFmtId="169" fontId="3" fillId="2" borderId="0" xfId="1" applyNumberFormat="1" applyFont="1" applyFill="1"/>
    <xf numFmtId="170" fontId="3" fillId="2" borderId="0" xfId="1" applyNumberFormat="1" applyFont="1" applyFill="1"/>
    <xf numFmtId="170" fontId="3" fillId="3" borderId="0" xfId="1" applyNumberFormat="1" applyFont="1" applyFill="1"/>
    <xf numFmtId="170" fontId="7" fillId="2" borderId="0" xfId="1" applyNumberFormat="1" applyFont="1" applyFill="1"/>
    <xf numFmtId="170" fontId="7" fillId="3" borderId="0" xfId="1" applyNumberFormat="1" applyFont="1" applyFill="1"/>
    <xf numFmtId="170" fontId="3" fillId="2" borderId="1" xfId="0" applyNumberFormat="1" applyFont="1" applyFill="1" applyBorder="1"/>
    <xf numFmtId="170" fontId="3" fillId="3" borderId="1" xfId="0" applyNumberFormat="1" applyFont="1" applyFill="1" applyBorder="1"/>
    <xf numFmtId="0" fontId="3" fillId="2" borderId="2" xfId="0" applyFont="1" applyFill="1" applyBorder="1"/>
    <xf numFmtId="170" fontId="3" fillId="2" borderId="0" xfId="0" applyNumberFormat="1" applyFont="1" applyFill="1"/>
    <xf numFmtId="170" fontId="3" fillId="3" borderId="0" xfId="0" applyNumberFormat="1" applyFont="1" applyFill="1"/>
    <xf numFmtId="1" fontId="3" fillId="2" borderId="2" xfId="0" applyNumberFormat="1" applyFont="1" applyFill="1" applyBorder="1"/>
    <xf numFmtId="1" fontId="3" fillId="2" borderId="0" xfId="0" applyNumberFormat="1" applyFont="1" applyFill="1"/>
    <xf numFmtId="164" fontId="3" fillId="2" borderId="0" xfId="0" applyNumberFormat="1" applyFont="1" applyFill="1" applyAlignment="1">
      <alignment horizontal="right"/>
    </xf>
    <xf numFmtId="167" fontId="3" fillId="2" borderId="0" xfId="1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0" fontId="2" fillId="2" borderId="0" xfId="0" applyFont="1" applyFill="1" applyAlignment="1">
      <alignment horizontal="left" wrapText="1"/>
    </xf>
    <xf numFmtId="0" fontId="8" fillId="2" borderId="2" xfId="0" applyFont="1" applyFill="1" applyBorder="1" applyAlignment="1">
      <alignment horizontal="left"/>
    </xf>
    <xf numFmtId="165" fontId="4" fillId="3" borderId="0" xfId="2" applyNumberFormat="1" applyFont="1" applyFill="1"/>
    <xf numFmtId="165" fontId="3" fillId="3" borderId="0" xfId="2" applyNumberFormat="1" applyFont="1" applyFill="1"/>
    <xf numFmtId="165" fontId="3" fillId="2" borderId="0" xfId="0" applyNumberFormat="1" applyFont="1" applyFill="1"/>
    <xf numFmtId="165" fontId="3" fillId="3" borderId="0" xfId="0" applyNumberFormat="1" applyFont="1" applyFill="1"/>
    <xf numFmtId="165" fontId="3" fillId="2" borderId="0" xfId="0" applyNumberFormat="1" applyFont="1" applyFill="1" applyAlignment="1">
      <alignment horizontal="right"/>
    </xf>
    <xf numFmtId="165" fontId="3" fillId="2" borderId="1" xfId="0" applyNumberFormat="1" applyFont="1" applyFill="1" applyBorder="1"/>
    <xf numFmtId="165" fontId="3" fillId="3" borderId="1" xfId="0" applyNumberFormat="1" applyFont="1" applyFill="1" applyBorder="1"/>
    <xf numFmtId="165" fontId="7" fillId="2" borderId="0" xfId="2" applyNumberFormat="1" applyFont="1" applyFill="1"/>
    <xf numFmtId="165" fontId="7" fillId="3" borderId="0" xfId="2" applyNumberFormat="1" applyFont="1" applyFill="1"/>
    <xf numFmtId="165" fontId="3" fillId="3" borderId="1" xfId="2" applyNumberFormat="1" applyFont="1" applyFill="1" applyBorder="1"/>
    <xf numFmtId="9" fontId="3" fillId="2" borderId="1" xfId="2" applyFont="1" applyFill="1" applyBorder="1"/>
    <xf numFmtId="0" fontId="10" fillId="2" borderId="0" xfId="0" applyFont="1" applyFill="1"/>
    <xf numFmtId="0" fontId="10" fillId="5" borderId="0" xfId="0" applyFont="1" applyFill="1"/>
    <xf numFmtId="0" fontId="4" fillId="5" borderId="0" xfId="0" applyFont="1" applyFill="1" applyAlignment="1">
      <alignment horizontal="centerContinuous"/>
    </xf>
    <xf numFmtId="0" fontId="3" fillId="5" borderId="0" xfId="0" applyFont="1" applyFill="1" applyAlignment="1">
      <alignment horizontal="centerContinuous"/>
    </xf>
    <xf numFmtId="0" fontId="10" fillId="6" borderId="0" xfId="0" applyFont="1" applyFill="1"/>
    <xf numFmtId="0" fontId="4" fillId="6" borderId="0" xfId="0" applyFont="1" applyFill="1" applyAlignment="1">
      <alignment horizontal="centerContinuous"/>
    </xf>
    <xf numFmtId="0" fontId="3" fillId="6" borderId="0" xfId="0" applyFont="1" applyFill="1" applyAlignment="1">
      <alignment horizontal="centerContinuous"/>
    </xf>
    <xf numFmtId="0" fontId="10" fillId="7" borderId="0" xfId="0" applyFont="1" applyFill="1"/>
    <xf numFmtId="0" fontId="4" fillId="7" borderId="0" xfId="0" applyFont="1" applyFill="1" applyAlignment="1">
      <alignment horizontal="centerContinuous"/>
    </xf>
    <xf numFmtId="165" fontId="3" fillId="2" borderId="0" xfId="2" applyNumberFormat="1" applyFont="1" applyFill="1" applyBorder="1"/>
    <xf numFmtId="170" fontId="4" fillId="2" borderId="0" xfId="0" applyNumberFormat="1" applyFont="1" applyFill="1"/>
    <xf numFmtId="170" fontId="4" fillId="3" borderId="0" xfId="0" applyNumberFormat="1" applyFont="1" applyFill="1"/>
    <xf numFmtId="166" fontId="3" fillId="2" borderId="0" xfId="0" applyNumberFormat="1" applyFont="1" applyFill="1"/>
    <xf numFmtId="0" fontId="10" fillId="2" borderId="0" xfId="0" applyFont="1" applyFill="1" applyAlignment="1">
      <alignment horizontal="right"/>
    </xf>
    <xf numFmtId="165" fontId="6" fillId="2" borderId="0" xfId="2" applyNumberFormat="1" applyFont="1" applyFill="1" applyBorder="1"/>
    <xf numFmtId="0" fontId="3" fillId="8" borderId="0" xfId="0" applyFont="1" applyFill="1"/>
    <xf numFmtId="166" fontId="3" fillId="3" borderId="0" xfId="0" applyNumberFormat="1" applyFont="1" applyFill="1"/>
    <xf numFmtId="0" fontId="3" fillId="8" borderId="1" xfId="0" applyFont="1" applyFill="1" applyBorder="1"/>
    <xf numFmtId="171" fontId="4" fillId="2" borderId="0" xfId="1" applyNumberFormat="1" applyFont="1" applyFill="1"/>
    <xf numFmtId="171" fontId="4" fillId="3" borderId="0" xfId="1" applyNumberFormat="1" applyFont="1" applyFill="1"/>
    <xf numFmtId="169" fontId="3" fillId="3" borderId="0" xfId="1" applyNumberFormat="1" applyFont="1" applyFill="1"/>
    <xf numFmtId="171" fontId="3" fillId="2" borderId="0" xfId="1" applyNumberFormat="1" applyFont="1" applyFill="1"/>
    <xf numFmtId="171" fontId="3" fillId="3" borderId="0" xfId="1" applyNumberFormat="1" applyFont="1" applyFill="1"/>
    <xf numFmtId="166" fontId="0" fillId="2" borderId="0" xfId="0" applyNumberFormat="1" applyFill="1"/>
    <xf numFmtId="9" fontId="4" fillId="2" borderId="0" xfId="2" applyFont="1" applyFill="1" applyBorder="1"/>
    <xf numFmtId="9" fontId="3" fillId="2" borderId="0" xfId="2" applyFont="1" applyFill="1" applyBorder="1"/>
    <xf numFmtId="9" fontId="3" fillId="2" borderId="0" xfId="0" applyNumberFormat="1" applyFont="1" applyFill="1"/>
    <xf numFmtId="165" fontId="4" fillId="2" borderId="0" xfId="2" applyNumberFormat="1" applyFont="1" applyFill="1" applyBorder="1"/>
    <xf numFmtId="0" fontId="2" fillId="2" borderId="0" xfId="0" applyFont="1" applyFill="1"/>
    <xf numFmtId="0" fontId="6" fillId="4" borderId="0" xfId="3" applyFont="1" applyFill="1" applyAlignment="1">
      <alignment vertical="top" wrapText="1"/>
    </xf>
    <xf numFmtId="0" fontId="8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</cellXfs>
  <cellStyles count="4">
    <cellStyle name="Currency" xfId="1" builtinId="4"/>
    <cellStyle name="Normal" xfId="0" builtinId="0"/>
    <cellStyle name="Normal 2" xfId="3" xr:uid="{1A5C4DF1-8EA7-4C21-890B-44A43AB1B7A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9699-F275-430C-8487-9F5B0A304333}">
  <dimension ref="A2:AC162"/>
  <sheetViews>
    <sheetView tabSelected="1" zoomScale="114" zoomScaleNormal="114" workbookViewId="0">
      <selection activeCell="B2" sqref="B2"/>
    </sheetView>
  </sheetViews>
  <sheetFormatPr baseColWidth="10" defaultColWidth="8.75" defaultRowHeight="13" x14ac:dyDescent="0.15"/>
  <cols>
    <col min="1" max="1" width="4.75" style="2" customWidth="1"/>
    <col min="2" max="2" width="28.75" style="2" customWidth="1"/>
    <col min="3" max="14" width="9.75" style="2" customWidth="1"/>
    <col min="15" max="15" width="8.75" style="2" customWidth="1"/>
    <col min="16" max="16" width="28.75" style="2" customWidth="1"/>
    <col min="17" max="24" width="9.75" style="2" customWidth="1"/>
    <col min="25" max="16384" width="8.75" style="2"/>
  </cols>
  <sheetData>
    <row r="2" spans="2:25" ht="16" x14ac:dyDescent="0.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P2" s="117" t="s">
        <v>1</v>
      </c>
      <c r="Q2" s="117"/>
      <c r="R2" s="117"/>
      <c r="S2" s="117"/>
      <c r="T2" s="117"/>
      <c r="U2" s="117"/>
      <c r="V2" s="117"/>
      <c r="W2" s="117"/>
    </row>
    <row r="3" spans="2:25" x14ac:dyDescent="0.15">
      <c r="H3" s="75"/>
      <c r="I3" s="3" t="s">
        <v>69</v>
      </c>
      <c r="J3" s="3" t="s">
        <v>2</v>
      </c>
      <c r="R3" s="75"/>
      <c r="S3" s="3" t="s">
        <v>69</v>
      </c>
      <c r="T3" s="3" t="s">
        <v>2</v>
      </c>
    </row>
    <row r="4" spans="2:25" ht="4.25" customHeight="1" x14ac:dyDescent="0.2">
      <c r="B4" s="4"/>
      <c r="P4" s="4"/>
    </row>
    <row r="5" spans="2:25" x14ac:dyDescent="0.15">
      <c r="C5" s="5">
        <v>2019</v>
      </c>
      <c r="D5" s="5">
        <v>2020</v>
      </c>
      <c r="E5" s="5">
        <v>2021</v>
      </c>
      <c r="F5" s="5">
        <v>2022</v>
      </c>
      <c r="G5" s="5">
        <v>2023</v>
      </c>
      <c r="H5" s="5">
        <v>2024</v>
      </c>
      <c r="I5" s="6">
        <v>2025</v>
      </c>
      <c r="J5" s="6">
        <v>2026</v>
      </c>
      <c r="K5" s="6">
        <v>2027</v>
      </c>
      <c r="L5" s="6">
        <v>2028</v>
      </c>
      <c r="M5" s="6">
        <v>2029</v>
      </c>
      <c r="N5" s="6">
        <v>2030</v>
      </c>
      <c r="Q5" s="5">
        <v>2023</v>
      </c>
      <c r="R5" s="5">
        <v>2024</v>
      </c>
      <c r="S5" s="6">
        <v>2025</v>
      </c>
      <c r="T5" s="6">
        <v>2026</v>
      </c>
      <c r="U5" s="6">
        <v>2027</v>
      </c>
      <c r="V5" s="6">
        <v>2028</v>
      </c>
      <c r="W5" s="6">
        <v>2029</v>
      </c>
      <c r="X5" s="6">
        <v>2030</v>
      </c>
    </row>
    <row r="6" spans="2:25" ht="4.25" customHeight="1" x14ac:dyDescent="0.15">
      <c r="I6" s="8"/>
      <c r="J6" s="8"/>
      <c r="K6" s="8"/>
      <c r="L6" s="8"/>
      <c r="M6" s="8"/>
      <c r="N6" s="8"/>
      <c r="S6" s="8"/>
      <c r="T6" s="8"/>
      <c r="U6" s="8"/>
      <c r="V6" s="8"/>
      <c r="W6" s="8"/>
      <c r="X6" s="8"/>
    </row>
    <row r="7" spans="2:25" x14ac:dyDescent="0.15">
      <c r="B7" s="7" t="s">
        <v>3</v>
      </c>
      <c r="C7" s="9">
        <v>285.56365785660057</v>
      </c>
      <c r="D7" s="9">
        <v>140.64816367714431</v>
      </c>
      <c r="E7" s="9">
        <v>213.43226572850097</v>
      </c>
      <c r="F7" s="9">
        <v>259.0913483786245</v>
      </c>
      <c r="G7" s="9">
        <v>264.11571496709621</v>
      </c>
      <c r="H7" s="9">
        <v>269.50541943468352</v>
      </c>
      <c r="I7" s="10">
        <v>271.40345634632916</v>
      </c>
      <c r="J7" s="10">
        <v>275.4887540802066</v>
      </c>
      <c r="K7" s="10">
        <v>282.48908170250888</v>
      </c>
      <c r="L7" s="10">
        <v>289.155996057864</v>
      </c>
      <c r="M7" s="10">
        <v>296.00454248454577</v>
      </c>
      <c r="N7" s="10">
        <v>304.31471958775847</v>
      </c>
      <c r="P7" s="7" t="s">
        <v>3</v>
      </c>
      <c r="Q7" s="44">
        <v>1.9392259216349128E-2</v>
      </c>
      <c r="R7" s="44">
        <v>2.0406602720549172E-2</v>
      </c>
      <c r="S7" s="78">
        <v>7.0426669549985554E-3</v>
      </c>
      <c r="T7" s="78">
        <v>1.5052489709874273E-2</v>
      </c>
      <c r="U7" s="78">
        <v>2.5410574909581207E-2</v>
      </c>
      <c r="V7" s="78">
        <v>2.3600608969291281E-2</v>
      </c>
      <c r="W7" s="78">
        <v>2.3684608031822707E-2</v>
      </c>
      <c r="X7" s="78">
        <v>2.807449180833621E-2</v>
      </c>
      <c r="Y7" s="17"/>
    </row>
    <row r="8" spans="2:25" x14ac:dyDescent="0.15">
      <c r="B8" s="14" t="s">
        <v>4</v>
      </c>
      <c r="C8" s="13">
        <v>50.964658102300007</v>
      </c>
      <c r="D8" s="13">
        <v>16.940475278600186</v>
      </c>
      <c r="E8" s="13">
        <v>25.846560191013914</v>
      </c>
      <c r="F8" s="13">
        <v>39.964086652551707</v>
      </c>
      <c r="G8" s="13">
        <v>41.57514741149852</v>
      </c>
      <c r="H8" s="13">
        <v>44.199676439321358</v>
      </c>
      <c r="I8" s="15">
        <v>44.320416761366843</v>
      </c>
      <c r="J8" s="15">
        <v>44.742452186960911</v>
      </c>
      <c r="K8" s="15">
        <v>46.522557345988574</v>
      </c>
      <c r="L8" s="15">
        <v>47.37025844196927</v>
      </c>
      <c r="M8" s="15">
        <v>48.745880107821009</v>
      </c>
      <c r="N8" s="15">
        <v>50.349850553260765</v>
      </c>
      <c r="P8" s="14" t="s">
        <v>4</v>
      </c>
      <c r="Q8" s="17">
        <v>4.0312713085460805E-2</v>
      </c>
      <c r="R8" s="17">
        <v>6.3127353508720674E-2</v>
      </c>
      <c r="S8" s="79">
        <v>2.7317014913275095E-3</v>
      </c>
      <c r="T8" s="79">
        <v>9.5223704205313897E-3</v>
      </c>
      <c r="U8" s="79">
        <v>3.9785596721192418E-2</v>
      </c>
      <c r="V8" s="79">
        <v>1.8221291870873291E-2</v>
      </c>
      <c r="W8" s="79">
        <v>2.9039775401203283E-2</v>
      </c>
      <c r="X8" s="79">
        <v>3.2904738654670584E-2</v>
      </c>
      <c r="Y8" s="17"/>
    </row>
    <row r="9" spans="2:25" x14ac:dyDescent="0.15">
      <c r="B9" s="14" t="s">
        <v>5</v>
      </c>
      <c r="C9" s="13">
        <v>234.59899975430056</v>
      </c>
      <c r="D9" s="13">
        <v>123.70768839854412</v>
      </c>
      <c r="E9" s="13">
        <v>187.58570553748706</v>
      </c>
      <c r="F9" s="13">
        <v>219.12726172607279</v>
      </c>
      <c r="G9" s="13">
        <v>222.5405675555977</v>
      </c>
      <c r="H9" s="13">
        <v>225.30574299536212</v>
      </c>
      <c r="I9" s="15">
        <v>227.08303958496234</v>
      </c>
      <c r="J9" s="15">
        <v>230.74630189324571</v>
      </c>
      <c r="K9" s="15">
        <v>235.96652435652032</v>
      </c>
      <c r="L9" s="15">
        <v>241.78573761589476</v>
      </c>
      <c r="M9" s="15">
        <v>247.25866237672477</v>
      </c>
      <c r="N9" s="15">
        <v>253.96486903449772</v>
      </c>
      <c r="P9" s="14" t="s">
        <v>5</v>
      </c>
      <c r="Q9" s="17">
        <v>1.5576819619056881E-2</v>
      </c>
      <c r="R9" s="17">
        <v>1.2425489294546566E-2</v>
      </c>
      <c r="S9" s="79">
        <v>7.8883767718109787E-3</v>
      </c>
      <c r="T9" s="79">
        <v>1.6131818188529934E-2</v>
      </c>
      <c r="U9" s="79">
        <v>2.2623211815068434E-2</v>
      </c>
      <c r="V9" s="79">
        <v>2.4661181391061326E-2</v>
      </c>
      <c r="W9" s="79">
        <v>2.2635432572637448E-2</v>
      </c>
      <c r="X9" s="79">
        <v>2.712223140459824E-2</v>
      </c>
      <c r="Y9" s="17"/>
    </row>
    <row r="10" spans="2:25" ht="4.25" customHeight="1" x14ac:dyDescent="0.15">
      <c r="C10" s="18"/>
      <c r="D10" s="18"/>
      <c r="E10" s="18"/>
      <c r="F10" s="18"/>
      <c r="G10" s="18"/>
      <c r="H10" s="18"/>
      <c r="I10" s="19"/>
      <c r="J10" s="19"/>
      <c r="K10" s="19"/>
      <c r="L10" s="19"/>
      <c r="M10" s="19"/>
      <c r="N10" s="19"/>
      <c r="Q10" s="80"/>
      <c r="R10" s="80"/>
      <c r="S10" s="81"/>
      <c r="T10" s="81"/>
      <c r="U10" s="81"/>
      <c r="V10" s="81"/>
      <c r="W10" s="81"/>
      <c r="X10" s="81"/>
      <c r="Y10" s="17"/>
    </row>
    <row r="11" spans="2:25" x14ac:dyDescent="0.15">
      <c r="B11" s="20" t="s">
        <v>6</v>
      </c>
      <c r="C11" s="18"/>
      <c r="D11" s="18"/>
      <c r="E11" s="18"/>
      <c r="F11" s="18"/>
      <c r="G11" s="18"/>
      <c r="H11" s="18"/>
      <c r="I11" s="19"/>
      <c r="J11" s="19"/>
      <c r="K11" s="19"/>
      <c r="L11" s="19"/>
      <c r="M11" s="19"/>
      <c r="N11" s="19"/>
      <c r="P11" s="20" t="s">
        <v>6</v>
      </c>
      <c r="Q11" s="80"/>
      <c r="R11" s="80"/>
      <c r="S11" s="81"/>
      <c r="T11" s="81"/>
      <c r="U11" s="81"/>
      <c r="V11" s="81"/>
      <c r="W11" s="81"/>
      <c r="X11" s="81"/>
      <c r="Y11" s="17"/>
    </row>
    <row r="12" spans="2:25" x14ac:dyDescent="0.15">
      <c r="B12" s="21" t="s">
        <v>7</v>
      </c>
      <c r="C12" s="9">
        <v>268.10646895660057</v>
      </c>
      <c r="D12" s="9">
        <v>136.90455527714431</v>
      </c>
      <c r="E12" s="9">
        <v>208.29111159863896</v>
      </c>
      <c r="F12" s="9">
        <v>247.33498111348121</v>
      </c>
      <c r="G12" s="9">
        <v>249.12127516224146</v>
      </c>
      <c r="H12" s="9">
        <v>252.98901310126922</v>
      </c>
      <c r="I12" s="10">
        <v>254.99636746355526</v>
      </c>
      <c r="J12" s="10">
        <v>258.68456224606894</v>
      </c>
      <c r="K12" s="10">
        <v>265.03272403230005</v>
      </c>
      <c r="L12" s="10">
        <v>270.96917467107858</v>
      </c>
      <c r="M12" s="10">
        <v>277.08751456439626</v>
      </c>
      <c r="N12" s="10">
        <v>284.66331857754778</v>
      </c>
      <c r="P12" s="21" t="s">
        <v>7</v>
      </c>
      <c r="Q12" s="44">
        <v>7.2221650197579201E-3</v>
      </c>
      <c r="R12" s="44">
        <v>1.5525522404735925E-2</v>
      </c>
      <c r="S12" s="78">
        <v>7.9345515351787466E-3</v>
      </c>
      <c r="T12" s="78">
        <v>1.4463714990139209E-2</v>
      </c>
      <c r="U12" s="78">
        <v>2.4540164790323171E-2</v>
      </c>
      <c r="V12" s="78">
        <v>2.23989345483806E-2</v>
      </c>
      <c r="W12" s="78">
        <v>2.25794683131193E-2</v>
      </c>
      <c r="X12" s="78">
        <v>2.7340834988762719E-2</v>
      </c>
      <c r="Y12" s="17"/>
    </row>
    <row r="13" spans="2:25" x14ac:dyDescent="0.15">
      <c r="B13" s="22" t="s">
        <v>4</v>
      </c>
      <c r="C13" s="13">
        <v>47.351020000000005</v>
      </c>
      <c r="D13" s="13">
        <v>16.113137822200187</v>
      </c>
      <c r="E13" s="13">
        <v>25.219339387170749</v>
      </c>
      <c r="F13" s="13">
        <v>38.247657031840788</v>
      </c>
      <c r="G13" s="13">
        <v>39.11204020047191</v>
      </c>
      <c r="H13" s="13">
        <v>40.73123110930436</v>
      </c>
      <c r="I13" s="15">
        <v>40.840473209330497</v>
      </c>
      <c r="J13" s="15">
        <v>41.21392478982051</v>
      </c>
      <c r="K13" s="15">
        <v>42.893743504028123</v>
      </c>
      <c r="L13" s="15">
        <v>43.627403000296169</v>
      </c>
      <c r="M13" s="15">
        <v>44.844961591925482</v>
      </c>
      <c r="N13" s="15">
        <v>46.30965254517838</v>
      </c>
      <c r="P13" s="22" t="s">
        <v>4</v>
      </c>
      <c r="Q13" s="17">
        <v>2.2599637094411706E-2</v>
      </c>
      <c r="R13" s="17">
        <v>4.1398784122054444E-2</v>
      </c>
      <c r="S13" s="79">
        <v>2.6820230337005757E-3</v>
      </c>
      <c r="T13" s="79">
        <v>9.1441540987016179E-3</v>
      </c>
      <c r="U13" s="79">
        <v>4.075852330915386E-2</v>
      </c>
      <c r="V13" s="79">
        <v>1.7104114407714199E-2</v>
      </c>
      <c r="W13" s="79">
        <v>2.7908115264643429E-2</v>
      </c>
      <c r="X13" s="79">
        <v>3.2661215468999805E-2</v>
      </c>
      <c r="Y13" s="17"/>
    </row>
    <row r="14" spans="2:25" x14ac:dyDescent="0.15">
      <c r="B14" s="23" t="s">
        <v>64</v>
      </c>
      <c r="C14" s="13">
        <v>9.1669917634173075</v>
      </c>
      <c r="D14" s="73" t="s">
        <v>63</v>
      </c>
      <c r="E14" s="73" t="s">
        <v>63</v>
      </c>
      <c r="F14" s="73" t="s">
        <v>63</v>
      </c>
      <c r="G14" s="13">
        <v>6.3322124888253555</v>
      </c>
      <c r="H14" s="13">
        <v>7.083692366835538</v>
      </c>
      <c r="I14" s="15">
        <v>7.2802582677502157</v>
      </c>
      <c r="J14" s="15">
        <v>7.4202983719411586</v>
      </c>
      <c r="K14" s="15">
        <v>7.6841250822143241</v>
      </c>
      <c r="L14" s="15">
        <v>7.8233707919804472</v>
      </c>
      <c r="M14" s="15">
        <v>8.0497480321268817</v>
      </c>
      <c r="N14" s="15">
        <v>8.3209752496624088</v>
      </c>
      <c r="P14" s="23" t="s">
        <v>64</v>
      </c>
      <c r="Q14" s="82" t="s">
        <v>63</v>
      </c>
      <c r="R14" s="17">
        <v>0.11867572026939111</v>
      </c>
      <c r="S14" s="79">
        <v>2.7749073609543151E-2</v>
      </c>
      <c r="T14" s="79">
        <v>1.9235595639688574E-2</v>
      </c>
      <c r="U14" s="79">
        <v>3.5554730692608061E-2</v>
      </c>
      <c r="V14" s="79">
        <v>1.8121218522121785E-2</v>
      </c>
      <c r="W14" s="79">
        <v>2.893602337990786E-2</v>
      </c>
      <c r="X14" s="79">
        <v>3.3693876684468549E-2</v>
      </c>
      <c r="Y14" s="17"/>
    </row>
    <row r="15" spans="2:25" x14ac:dyDescent="0.15">
      <c r="B15" s="22" t="s">
        <v>5</v>
      </c>
      <c r="C15" s="13">
        <v>220.75544895660056</v>
      </c>
      <c r="D15" s="13">
        <v>120.79141745494412</v>
      </c>
      <c r="E15" s="13">
        <v>183.07177221146821</v>
      </c>
      <c r="F15" s="13">
        <v>209.08732408164042</v>
      </c>
      <c r="G15" s="13">
        <v>210.00923496176955</v>
      </c>
      <c r="H15" s="13">
        <v>212.25778199196486</v>
      </c>
      <c r="I15" s="15">
        <v>214.15589425422476</v>
      </c>
      <c r="J15" s="15">
        <v>217.47063745624843</v>
      </c>
      <c r="K15" s="15">
        <v>222.13898052827193</v>
      </c>
      <c r="L15" s="15">
        <v>227.34177167078241</v>
      </c>
      <c r="M15" s="15">
        <v>232.24255297247078</v>
      </c>
      <c r="N15" s="15">
        <v>238.3536660323694</v>
      </c>
      <c r="P15" s="22" t="s">
        <v>5</v>
      </c>
      <c r="Q15" s="17">
        <v>4.4092145909770952E-3</v>
      </c>
      <c r="R15" s="17">
        <v>1.0706895963906726E-2</v>
      </c>
      <c r="S15" s="79">
        <v>8.9424860867139966E-3</v>
      </c>
      <c r="T15" s="79">
        <v>1.5478178705129242E-2</v>
      </c>
      <c r="U15" s="79">
        <v>2.1466544295952072E-2</v>
      </c>
      <c r="V15" s="79">
        <v>2.3421333482928741E-2</v>
      </c>
      <c r="W15" s="79">
        <v>2.155688884480611E-2</v>
      </c>
      <c r="X15" s="79">
        <v>2.6313494153773931E-2</v>
      </c>
      <c r="Y15" s="17"/>
    </row>
    <row r="16" spans="2:25" ht="4.25" customHeight="1" x14ac:dyDescent="0.15">
      <c r="B16" s="22"/>
      <c r="C16" s="18"/>
      <c r="D16" s="18"/>
      <c r="E16" s="18"/>
      <c r="F16" s="18"/>
      <c r="G16" s="18"/>
      <c r="H16" s="18"/>
      <c r="I16" s="19"/>
      <c r="J16" s="19"/>
      <c r="K16" s="19"/>
      <c r="L16" s="19"/>
      <c r="M16" s="19"/>
      <c r="N16" s="19"/>
      <c r="P16" s="22"/>
      <c r="Q16" s="80"/>
      <c r="R16" s="80"/>
      <c r="S16" s="81"/>
      <c r="T16" s="81"/>
      <c r="U16" s="81"/>
      <c r="V16" s="81"/>
      <c r="W16" s="81"/>
      <c r="X16" s="81"/>
      <c r="Y16" s="17"/>
    </row>
    <row r="17" spans="1:25" x14ac:dyDescent="0.15">
      <c r="A17" s="16"/>
      <c r="B17" s="22" t="s">
        <v>8</v>
      </c>
      <c r="C17" s="13">
        <v>91.08950826492071</v>
      </c>
      <c r="D17" s="13">
        <v>51.540478922411232</v>
      </c>
      <c r="E17" s="13">
        <v>71.988051866045481</v>
      </c>
      <c r="F17" s="13">
        <v>80.939038063302149</v>
      </c>
      <c r="G17" s="13">
        <v>82.210020803539663</v>
      </c>
      <c r="H17" s="13">
        <v>86.028913905086597</v>
      </c>
      <c r="I17" s="15">
        <v>87.216369314104668</v>
      </c>
      <c r="J17" s="15">
        <v>88.137428581891129</v>
      </c>
      <c r="K17" s="15">
        <v>90.212969409271693</v>
      </c>
      <c r="L17" s="15">
        <v>92.054908275620477</v>
      </c>
      <c r="M17" s="15">
        <v>94.316413215501257</v>
      </c>
      <c r="N17" s="15">
        <v>97.082870921829823</v>
      </c>
      <c r="P17" s="22" t="s">
        <v>8</v>
      </c>
      <c r="Q17" s="17">
        <v>1.5702963250483482E-2</v>
      </c>
      <c r="R17" s="17">
        <v>4.6452890587062257E-2</v>
      </c>
      <c r="S17" s="79">
        <v>1.3802980359930661E-2</v>
      </c>
      <c r="T17" s="79">
        <v>1.0560623825893511E-2</v>
      </c>
      <c r="U17" s="79">
        <v>2.3548915151888172E-2</v>
      </c>
      <c r="V17" s="79">
        <v>2.041767251881943E-2</v>
      </c>
      <c r="W17" s="79">
        <v>2.4566913185222417E-2</v>
      </c>
      <c r="X17" s="79">
        <v>2.9331667861536959E-2</v>
      </c>
      <c r="Y17" s="17"/>
    </row>
    <row r="18" spans="1:25" x14ac:dyDescent="0.15">
      <c r="A18" s="16"/>
      <c r="B18" s="22" t="s">
        <v>9</v>
      </c>
      <c r="C18" s="13">
        <v>177.01696069167986</v>
      </c>
      <c r="D18" s="13">
        <v>85.364076354733072</v>
      </c>
      <c r="E18" s="13">
        <v>136.30305973259348</v>
      </c>
      <c r="F18" s="13">
        <v>166.39594305017906</v>
      </c>
      <c r="G18" s="13">
        <v>166.9112543587018</v>
      </c>
      <c r="H18" s="13">
        <v>166.96009919618263</v>
      </c>
      <c r="I18" s="15">
        <v>167.77999814945059</v>
      </c>
      <c r="J18" s="15">
        <v>170.54713366417781</v>
      </c>
      <c r="K18" s="15">
        <v>174.81975462302836</v>
      </c>
      <c r="L18" s="15">
        <v>178.9142663954581</v>
      </c>
      <c r="M18" s="15">
        <v>182.771101348895</v>
      </c>
      <c r="N18" s="15">
        <v>187.58044765571796</v>
      </c>
      <c r="P18" s="22" t="s">
        <v>9</v>
      </c>
      <c r="Q18" s="17">
        <v>3.0968982721371052E-3</v>
      </c>
      <c r="R18" s="17">
        <v>2.9263956866487639E-4</v>
      </c>
      <c r="S18" s="79">
        <v>4.9107478805732185E-3</v>
      </c>
      <c r="T18" s="79">
        <v>1.6492642420119497E-2</v>
      </c>
      <c r="U18" s="79">
        <v>2.5052434872718132E-2</v>
      </c>
      <c r="V18" s="79">
        <v>2.3421333482928963E-2</v>
      </c>
      <c r="W18" s="79">
        <v>2.155688884480611E-2</v>
      </c>
      <c r="X18" s="79">
        <v>2.6313494153773931E-2</v>
      </c>
      <c r="Y18" s="17"/>
    </row>
    <row r="19" spans="1:25" x14ac:dyDescent="0.15">
      <c r="B19" s="23" t="s">
        <v>10</v>
      </c>
      <c r="C19" s="13">
        <v>119.46388750021515</v>
      </c>
      <c r="D19" s="13">
        <v>72.753507487631026</v>
      </c>
      <c r="E19" s="13">
        <v>97.853744856370483</v>
      </c>
      <c r="F19" s="13">
        <v>111.10141537520009</v>
      </c>
      <c r="G19" s="13">
        <v>111.83054042033021</v>
      </c>
      <c r="H19" s="13">
        <v>111.19542606465764</v>
      </c>
      <c r="I19" s="15">
        <v>111.57369876938465</v>
      </c>
      <c r="J19" s="15">
        <v>113.58439102034242</v>
      </c>
      <c r="K19" s="15">
        <v>116.60477633355993</v>
      </c>
      <c r="L19" s="15">
        <v>119.1569014193751</v>
      </c>
      <c r="M19" s="15">
        <v>121.90832459971297</v>
      </c>
      <c r="N19" s="15">
        <v>125.11615858636388</v>
      </c>
      <c r="P19" s="23" t="s">
        <v>10</v>
      </c>
      <c r="Q19" s="17">
        <v>6.5626980778579203E-3</v>
      </c>
      <c r="R19" s="17">
        <v>-5.6792567869690114E-3</v>
      </c>
      <c r="S19" s="79">
        <v>3.4018728837557077E-3</v>
      </c>
      <c r="T19" s="79">
        <v>1.8021202784661128E-2</v>
      </c>
      <c r="U19" s="79">
        <v>2.6591552642797334E-2</v>
      </c>
      <c r="V19" s="79">
        <v>2.1886968665113304E-2</v>
      </c>
      <c r="W19" s="79">
        <v>2.3090758047275672E-2</v>
      </c>
      <c r="X19" s="79">
        <v>2.6313494153773931E-2</v>
      </c>
      <c r="Y19" s="17"/>
    </row>
    <row r="20" spans="1:25" x14ac:dyDescent="0.15">
      <c r="B20" s="23" t="s">
        <v>11</v>
      </c>
      <c r="C20" s="13">
        <v>57.553073191464705</v>
      </c>
      <c r="D20" s="13">
        <v>12.610568867102046</v>
      </c>
      <c r="E20" s="13">
        <v>38.449314876222999</v>
      </c>
      <c r="F20" s="13">
        <v>55.294527674978966</v>
      </c>
      <c r="G20" s="13">
        <v>55.080713938371588</v>
      </c>
      <c r="H20" s="13">
        <v>55.764673131524987</v>
      </c>
      <c r="I20" s="15">
        <v>56.206299380065943</v>
      </c>
      <c r="J20" s="15">
        <v>56.962742643835384</v>
      </c>
      <c r="K20" s="15">
        <v>58.214978289468434</v>
      </c>
      <c r="L20" s="15">
        <v>59.757364976082997</v>
      </c>
      <c r="M20" s="15">
        <v>60.862776749182032</v>
      </c>
      <c r="N20" s="15">
        <v>62.464289069354081</v>
      </c>
      <c r="P20" s="23" t="s">
        <v>11</v>
      </c>
      <c r="Q20" s="17">
        <v>-3.8668154987085979E-3</v>
      </c>
      <c r="R20" s="17">
        <v>1.2417398836163551E-2</v>
      </c>
      <c r="S20" s="79">
        <v>7.9194626945870983E-3</v>
      </c>
      <c r="T20" s="79">
        <v>1.3458336024835704E-2</v>
      </c>
      <c r="U20" s="79">
        <v>2.1983415606631862E-2</v>
      </c>
      <c r="V20" s="79">
        <v>2.6494670820715438E-2</v>
      </c>
      <c r="W20" s="79">
        <v>1.8498335285390466E-2</v>
      </c>
      <c r="X20" s="79">
        <v>2.6313494153773931E-2</v>
      </c>
      <c r="Y20" s="17"/>
    </row>
    <row r="21" spans="1:25" ht="4.25" customHeight="1" x14ac:dyDescent="0.15">
      <c r="B21" s="23"/>
      <c r="C21" s="13"/>
      <c r="D21" s="13"/>
      <c r="E21" s="13"/>
      <c r="F21" s="13"/>
      <c r="G21" s="13"/>
      <c r="H21" s="13"/>
      <c r="I21" s="15"/>
      <c r="J21" s="15"/>
      <c r="K21" s="15"/>
      <c r="L21" s="15"/>
      <c r="M21" s="15"/>
      <c r="N21" s="15"/>
      <c r="P21" s="23"/>
      <c r="Q21" s="17"/>
      <c r="R21" s="17"/>
      <c r="S21" s="79"/>
      <c r="T21" s="79"/>
      <c r="U21" s="79"/>
      <c r="V21" s="79"/>
      <c r="W21" s="79"/>
      <c r="X21" s="79"/>
      <c r="Y21" s="17"/>
    </row>
    <row r="22" spans="1:25" x14ac:dyDescent="0.15">
      <c r="B22" s="22" t="s">
        <v>12</v>
      </c>
      <c r="C22" s="13">
        <v>118.64160632312363</v>
      </c>
      <c r="D22" s="13">
        <v>63.192315847576459</v>
      </c>
      <c r="E22" s="13">
        <v>87.773709572687906</v>
      </c>
      <c r="F22" s="13">
        <v>109.05094367338533</v>
      </c>
      <c r="G22" s="13">
        <v>111.83452897577276</v>
      </c>
      <c r="H22" s="13">
        <v>114.35103392177369</v>
      </c>
      <c r="I22" s="15">
        <v>115.03943678420536</v>
      </c>
      <c r="J22" s="15">
        <v>116.77449423472591</v>
      </c>
      <c r="K22" s="15">
        <v>119.36828555056816</v>
      </c>
      <c r="L22" s="15">
        <v>122.12141898312923</v>
      </c>
      <c r="M22" s="15">
        <v>124.93696189832505</v>
      </c>
      <c r="N22" s="15">
        <v>128.35284275758448</v>
      </c>
      <c r="P22" s="22" t="s">
        <v>12</v>
      </c>
      <c r="Q22" s="17">
        <v>2.5525549881754817E-2</v>
      </c>
      <c r="R22" s="17">
        <v>2.2502039120190664E-2</v>
      </c>
      <c r="S22" s="79">
        <v>6.0200842862740966E-3</v>
      </c>
      <c r="T22" s="79">
        <v>1.5082283945593522E-2</v>
      </c>
      <c r="U22" s="79">
        <v>2.2211967885971129E-2</v>
      </c>
      <c r="V22" s="79">
        <v>2.306419514917768E-2</v>
      </c>
      <c r="W22" s="79">
        <v>2.3055275140430265E-2</v>
      </c>
      <c r="X22" s="79">
        <v>2.7340834988762719E-2</v>
      </c>
      <c r="Y22" s="17"/>
    </row>
    <row r="23" spans="1:25" x14ac:dyDescent="0.15">
      <c r="B23" s="22" t="s">
        <v>13</v>
      </c>
      <c r="C23" s="13">
        <v>149.46486263347691</v>
      </c>
      <c r="D23" s="13">
        <v>73.712239429567859</v>
      </c>
      <c r="E23" s="13">
        <v>120.51740202595106</v>
      </c>
      <c r="F23" s="13">
        <v>138.28403744009586</v>
      </c>
      <c r="G23" s="13">
        <v>137.28674618646869</v>
      </c>
      <c r="H23" s="13">
        <v>138.63797917949552</v>
      </c>
      <c r="I23" s="15">
        <v>139.95693067934991</v>
      </c>
      <c r="J23" s="15">
        <v>141.91006801134301</v>
      </c>
      <c r="K23" s="15">
        <v>145.66443848173191</v>
      </c>
      <c r="L23" s="15">
        <v>148.84775568794936</v>
      </c>
      <c r="M23" s="15">
        <v>152.15055266607121</v>
      </c>
      <c r="N23" s="15">
        <v>156.3104758199633</v>
      </c>
      <c r="P23" s="22" t="s">
        <v>13</v>
      </c>
      <c r="Q23" s="17">
        <v>-7.2119043679151895E-3</v>
      </c>
      <c r="R23" s="17">
        <v>9.8424140025252793E-3</v>
      </c>
      <c r="S23" s="79">
        <v>9.5136376601878681E-3</v>
      </c>
      <c r="T23" s="79">
        <v>1.3955274115491134E-2</v>
      </c>
      <c r="U23" s="79">
        <v>2.6455983870635524E-2</v>
      </c>
      <c r="V23" s="79">
        <v>2.1853770483704515E-2</v>
      </c>
      <c r="W23" s="79">
        <v>2.218909491014398E-2</v>
      </c>
      <c r="X23" s="79">
        <v>2.7340834988762719E-2</v>
      </c>
      <c r="Y23" s="17"/>
    </row>
    <row r="24" spans="1:25" ht="4.25" customHeight="1" x14ac:dyDescent="0.15">
      <c r="B24" s="23"/>
      <c r="C24" s="13"/>
      <c r="D24" s="13"/>
      <c r="E24" s="13"/>
      <c r="F24" s="13"/>
      <c r="G24" s="13"/>
      <c r="H24" s="13"/>
      <c r="I24" s="15"/>
      <c r="J24" s="15"/>
      <c r="K24" s="15"/>
      <c r="L24" s="15"/>
      <c r="M24" s="15"/>
      <c r="N24" s="15"/>
      <c r="P24" s="23"/>
      <c r="Q24" s="17"/>
      <c r="R24" s="17"/>
      <c r="S24" s="79"/>
      <c r="T24" s="79"/>
      <c r="U24" s="79"/>
      <c r="V24" s="79"/>
      <c r="W24" s="79"/>
      <c r="X24" s="79"/>
      <c r="Y24" s="17"/>
    </row>
    <row r="25" spans="1:25" x14ac:dyDescent="0.15">
      <c r="B25" s="22" t="s">
        <v>14</v>
      </c>
      <c r="C25" s="13">
        <v>54.649560708110563</v>
      </c>
      <c r="D25" s="13">
        <v>17.433209865887271</v>
      </c>
      <c r="E25" s="13">
        <v>41.77041208368329</v>
      </c>
      <c r="F25" s="13">
        <v>49.714331203809728</v>
      </c>
      <c r="G25" s="13">
        <v>49.572642544534425</v>
      </c>
      <c r="H25" s="13">
        <v>49.587149461266236</v>
      </c>
      <c r="I25" s="15">
        <v>50.130543057911709</v>
      </c>
      <c r="J25" s="15">
        <v>50.90647256194724</v>
      </c>
      <c r="K25" s="15">
        <v>52.207881513298993</v>
      </c>
      <c r="L25" s="15">
        <v>53.53741428152766</v>
      </c>
      <c r="M25" s="15">
        <v>54.801006891494609</v>
      </c>
      <c r="N25" s="15">
        <v>56.355611490311126</v>
      </c>
      <c r="P25" s="22" t="s">
        <v>14</v>
      </c>
      <c r="Q25" s="17">
        <v>-2.8500566304399122E-3</v>
      </c>
      <c r="R25" s="17">
        <v>2.9263956866487639E-4</v>
      </c>
      <c r="S25" s="79">
        <v>1.0958355189784275E-2</v>
      </c>
      <c r="T25" s="79">
        <v>1.5478178705129242E-2</v>
      </c>
      <c r="U25" s="79">
        <v>2.5564704955113315E-2</v>
      </c>
      <c r="V25" s="79">
        <v>2.5466131352025689E-2</v>
      </c>
      <c r="W25" s="79">
        <v>2.3602047781432267E-2</v>
      </c>
      <c r="X25" s="79">
        <v>2.8368175823751063E-2</v>
      </c>
      <c r="Y25" s="17"/>
    </row>
    <row r="26" spans="1:25" x14ac:dyDescent="0.15">
      <c r="B26" s="22" t="s">
        <v>15</v>
      </c>
      <c r="C26" s="13">
        <v>213.45690824849001</v>
      </c>
      <c r="D26" s="13">
        <v>119.47134541125703</v>
      </c>
      <c r="E26" s="13">
        <v>166.52069951495568</v>
      </c>
      <c r="F26" s="13">
        <v>197.62064990967147</v>
      </c>
      <c r="G26" s="13">
        <v>199.54863261770703</v>
      </c>
      <c r="H26" s="13">
        <v>203.401863640003</v>
      </c>
      <c r="I26" s="15">
        <v>204.86582440564354</v>
      </c>
      <c r="J26" s="15">
        <v>207.77808968412171</v>
      </c>
      <c r="K26" s="15">
        <v>212.82484251900107</v>
      </c>
      <c r="L26" s="15">
        <v>217.4317603895509</v>
      </c>
      <c r="M26" s="15">
        <v>222.28650767290165</v>
      </c>
      <c r="N26" s="15">
        <v>228.30770708723665</v>
      </c>
      <c r="P26" s="22" t="s">
        <v>15</v>
      </c>
      <c r="Q26" s="17">
        <v>9.7559779755647114E-3</v>
      </c>
      <c r="R26" s="17">
        <v>1.9309734031993875E-2</v>
      </c>
      <c r="S26" s="79">
        <v>7.1973812798076242E-3</v>
      </c>
      <c r="T26" s="79">
        <v>1.4215476333972354E-2</v>
      </c>
      <c r="U26" s="79">
        <v>2.4289148305058461E-2</v>
      </c>
      <c r="V26" s="79">
        <v>2.1646523103328708E-2</v>
      </c>
      <c r="W26" s="79">
        <v>2.2327682371025226E-2</v>
      </c>
      <c r="X26" s="79">
        <v>2.7087561352105549E-2</v>
      </c>
      <c r="Y26" s="17"/>
    </row>
    <row r="27" spans="1:25" ht="4.25" customHeight="1" x14ac:dyDescent="0.15">
      <c r="B27" s="24"/>
      <c r="C27" s="25"/>
      <c r="D27" s="25"/>
      <c r="E27" s="25"/>
      <c r="F27" s="25"/>
      <c r="G27" s="25"/>
      <c r="H27" s="25"/>
      <c r="I27" s="26"/>
      <c r="J27" s="26"/>
      <c r="K27" s="26"/>
      <c r="L27" s="26"/>
      <c r="M27" s="26"/>
      <c r="N27" s="26"/>
      <c r="P27" s="24"/>
      <c r="Q27" s="83"/>
      <c r="R27" s="83"/>
      <c r="S27" s="84"/>
      <c r="T27" s="84"/>
      <c r="U27" s="84"/>
      <c r="V27" s="84"/>
      <c r="W27" s="84"/>
      <c r="X27" s="84"/>
      <c r="Y27" s="17"/>
    </row>
    <row r="28" spans="1:25" x14ac:dyDescent="0.15">
      <c r="B28" s="20" t="s">
        <v>16</v>
      </c>
      <c r="C28" s="18"/>
      <c r="D28" s="18"/>
      <c r="E28" s="18"/>
      <c r="F28" s="18"/>
      <c r="G28" s="18"/>
      <c r="H28" s="18"/>
      <c r="I28" s="19"/>
      <c r="J28" s="19"/>
      <c r="K28" s="19"/>
      <c r="L28" s="19"/>
      <c r="M28" s="19"/>
      <c r="N28" s="19"/>
      <c r="P28" s="20" t="s">
        <v>16</v>
      </c>
      <c r="Q28" s="80"/>
      <c r="R28" s="80"/>
      <c r="S28" s="81"/>
      <c r="T28" s="81"/>
      <c r="U28" s="81"/>
      <c r="V28" s="81"/>
      <c r="W28" s="81"/>
      <c r="X28" s="81"/>
      <c r="Y28" s="17"/>
    </row>
    <row r="29" spans="1:25" x14ac:dyDescent="0.15">
      <c r="B29" s="21" t="s">
        <v>7</v>
      </c>
      <c r="C29" s="9">
        <v>17.457188900000002</v>
      </c>
      <c r="D29" s="9">
        <v>3.7436084000000003</v>
      </c>
      <c r="E29" s="9">
        <v>5.1411541298619996</v>
      </c>
      <c r="F29" s="9">
        <v>11.7563672651433</v>
      </c>
      <c r="G29" s="9">
        <v>14.994439804854755</v>
      </c>
      <c r="H29" s="9">
        <v>16.516406333414267</v>
      </c>
      <c r="I29" s="10">
        <v>16.407088882773927</v>
      </c>
      <c r="J29" s="10">
        <v>16.804191834137693</v>
      </c>
      <c r="K29" s="10">
        <v>17.456357670208838</v>
      </c>
      <c r="L29" s="10">
        <v>18.186821386785443</v>
      </c>
      <c r="M29" s="10">
        <v>18.917027920149518</v>
      </c>
      <c r="N29" s="10">
        <v>19.651401010210705</v>
      </c>
      <c r="P29" s="21" t="s">
        <v>7</v>
      </c>
      <c r="Q29" s="44">
        <v>0.27543138681215606</v>
      </c>
      <c r="R29" s="44">
        <v>0.10150205998804607</v>
      </c>
      <c r="S29" s="78">
        <v>-6.6187188928127361E-3</v>
      </c>
      <c r="T29" s="78">
        <v>2.4203132816613904E-2</v>
      </c>
      <c r="U29" s="78">
        <v>3.8809711440348504E-2</v>
      </c>
      <c r="V29" s="78">
        <v>4.1845139196661885E-2</v>
      </c>
      <c r="W29" s="78">
        <v>4.0150310922096866E-2</v>
      </c>
      <c r="X29" s="78">
        <v>3.8820743573517058E-2</v>
      </c>
      <c r="Y29" s="17"/>
    </row>
    <row r="30" spans="1:25" x14ac:dyDescent="0.15">
      <c r="B30" s="22" t="s">
        <v>17</v>
      </c>
      <c r="C30" s="13">
        <v>8.0490000000000013</v>
      </c>
      <c r="D30" s="13">
        <v>1.335</v>
      </c>
      <c r="E30" s="13">
        <v>1.1120000000000005</v>
      </c>
      <c r="F30" s="13">
        <v>4.455000000000001</v>
      </c>
      <c r="G30" s="13">
        <v>6.282</v>
      </c>
      <c r="H30" s="13">
        <v>6.9640000000000004</v>
      </c>
      <c r="I30" s="15">
        <v>6.6159999999999997</v>
      </c>
      <c r="J30" s="15">
        <v>6.7381291912005015</v>
      </c>
      <c r="K30" s="15">
        <v>7.1115000603081295</v>
      </c>
      <c r="L30" s="15">
        <v>7.5267902024882662</v>
      </c>
      <c r="M30" s="15">
        <v>7.9248800042178953</v>
      </c>
      <c r="N30" s="15">
        <v>8.3898294942328171</v>
      </c>
      <c r="P30" s="22" t="s">
        <v>17</v>
      </c>
      <c r="Q30" s="17">
        <v>0.41010101010100986</v>
      </c>
      <c r="R30" s="17">
        <v>0.10856415154409427</v>
      </c>
      <c r="S30" s="79">
        <v>-4.9971280873061574E-2</v>
      </c>
      <c r="T30" s="79">
        <v>1.8459672188709364E-2</v>
      </c>
      <c r="U30" s="79">
        <v>5.5411651886286606E-2</v>
      </c>
      <c r="V30" s="79">
        <v>5.8396982163864797E-2</v>
      </c>
      <c r="W30" s="79">
        <v>5.2889716734501935E-2</v>
      </c>
      <c r="X30" s="79">
        <v>5.8669593705830136E-2</v>
      </c>
      <c r="Y30" s="17"/>
    </row>
    <row r="31" spans="1:25" x14ac:dyDescent="0.15">
      <c r="B31" s="22" t="s">
        <v>18</v>
      </c>
      <c r="C31" s="13">
        <v>7.6765303999999999</v>
      </c>
      <c r="D31" s="13">
        <v>2.0078325000000001</v>
      </c>
      <c r="E31" s="13">
        <v>3.7189135056719991</v>
      </c>
      <c r="F31" s="13">
        <v>5.9996565370595745</v>
      </c>
      <c r="G31" s="13">
        <v>6.9435303999999993</v>
      </c>
      <c r="H31" s="13">
        <v>7.8261018177054638</v>
      </c>
      <c r="I31" s="15">
        <v>8.4112546996478397</v>
      </c>
      <c r="J31" s="15">
        <v>8.6507700825688545</v>
      </c>
      <c r="K31" s="15">
        <v>8.8494537988818909</v>
      </c>
      <c r="L31" s="15">
        <v>9.0776177267501765</v>
      </c>
      <c r="M31" s="15">
        <v>9.3344298943603778</v>
      </c>
      <c r="N31" s="15">
        <v>9.5317997285246978</v>
      </c>
      <c r="P31" s="22" t="s">
        <v>18</v>
      </c>
      <c r="Q31" s="17">
        <v>0.15732131616371103</v>
      </c>
      <c r="R31" s="17">
        <v>0.12710701427986315</v>
      </c>
      <c r="S31" s="79">
        <v>7.4769392933088152E-2</v>
      </c>
      <c r="T31" s="79">
        <v>2.8475583188682041E-2</v>
      </c>
      <c r="U31" s="79">
        <v>2.2967171062999503E-2</v>
      </c>
      <c r="V31" s="79">
        <v>2.5782826042564766E-2</v>
      </c>
      <c r="W31" s="79">
        <v>2.8290700857937612E-2</v>
      </c>
      <c r="X31" s="79">
        <v>2.1144283732160929E-2</v>
      </c>
      <c r="Y31" s="17"/>
    </row>
    <row r="32" spans="1:25" x14ac:dyDescent="0.15">
      <c r="B32" s="22" t="s">
        <v>19</v>
      </c>
      <c r="C32" s="13">
        <v>1.7316585</v>
      </c>
      <c r="D32" s="13">
        <v>0.40077589999999996</v>
      </c>
      <c r="E32" s="13">
        <v>0.31024062418999998</v>
      </c>
      <c r="F32" s="13">
        <v>1.3017107280837257</v>
      </c>
      <c r="G32" s="13">
        <v>1.7689094048547549</v>
      </c>
      <c r="H32" s="13">
        <v>1.7263045157088026</v>
      </c>
      <c r="I32" s="15">
        <v>1.3798341831260867</v>
      </c>
      <c r="J32" s="15">
        <v>1.4152925603683377</v>
      </c>
      <c r="K32" s="15">
        <v>1.4954038110188197</v>
      </c>
      <c r="L32" s="15">
        <v>1.5824134575469992</v>
      </c>
      <c r="M32" s="15">
        <v>1.6577180215712455</v>
      </c>
      <c r="N32" s="15">
        <v>1.7297717874531904</v>
      </c>
      <c r="P32" s="22" t="s">
        <v>19</v>
      </c>
      <c r="Q32" s="17">
        <v>0.35891129011343526</v>
      </c>
      <c r="R32" s="17">
        <v>-2.408539918948005E-2</v>
      </c>
      <c r="S32" s="79">
        <v>-0.20070058870260143</v>
      </c>
      <c r="T32" s="79">
        <v>2.5697564008682727E-2</v>
      </c>
      <c r="U32" s="79">
        <v>5.6604021595105802E-2</v>
      </c>
      <c r="V32" s="79">
        <v>5.8184716320135443E-2</v>
      </c>
      <c r="W32" s="79">
        <v>4.7588424924659423E-2</v>
      </c>
      <c r="X32" s="79">
        <v>4.3465634652176677E-2</v>
      </c>
      <c r="Y32" s="17"/>
    </row>
    <row r="33" spans="2:25" ht="4.25" customHeight="1" x14ac:dyDescent="0.15">
      <c r="B33" s="22"/>
      <c r="C33" s="13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P33" s="22"/>
      <c r="Q33" s="17"/>
      <c r="R33" s="17"/>
      <c r="S33" s="79"/>
      <c r="T33" s="79"/>
      <c r="U33" s="79"/>
      <c r="V33" s="79"/>
      <c r="W33" s="79"/>
      <c r="X33" s="79"/>
      <c r="Y33" s="17"/>
    </row>
    <row r="34" spans="2:25" x14ac:dyDescent="0.15">
      <c r="B34" s="22" t="s">
        <v>4</v>
      </c>
      <c r="C34" s="13">
        <v>3.6136381022999999</v>
      </c>
      <c r="D34" s="13">
        <v>0.82733745640000012</v>
      </c>
      <c r="E34" s="13">
        <v>0.62722080384316392</v>
      </c>
      <c r="F34" s="13">
        <v>1.716429620710922</v>
      </c>
      <c r="G34" s="13">
        <v>2.4631072110266126</v>
      </c>
      <c r="H34" s="13">
        <v>3.468445330016996</v>
      </c>
      <c r="I34" s="15">
        <v>3.4799435520363495</v>
      </c>
      <c r="J34" s="15">
        <v>3.5285273971403983</v>
      </c>
      <c r="K34" s="15">
        <v>3.6288138419604539</v>
      </c>
      <c r="L34" s="15">
        <v>3.7428554416731012</v>
      </c>
      <c r="M34" s="15">
        <v>3.9009185158955235</v>
      </c>
      <c r="N34" s="15">
        <v>4.0401980080823812</v>
      </c>
      <c r="P34" s="22" t="s">
        <v>4</v>
      </c>
      <c r="Q34" s="17">
        <v>0.4350178890564862</v>
      </c>
      <c r="R34" s="17">
        <v>0.40815848960604639</v>
      </c>
      <c r="S34" s="79">
        <v>3.3150939182591266E-3</v>
      </c>
      <c r="T34" s="79">
        <v>1.3961101488447758E-2</v>
      </c>
      <c r="U34" s="79">
        <v>2.8421614325945255E-2</v>
      </c>
      <c r="V34" s="79">
        <v>3.1426687804695153E-2</v>
      </c>
      <c r="W34" s="79">
        <v>4.2230611543941032E-2</v>
      </c>
      <c r="X34" s="79">
        <v>3.5704281342796351E-2</v>
      </c>
      <c r="Y34" s="17"/>
    </row>
    <row r="35" spans="2:25" x14ac:dyDescent="0.15">
      <c r="B35" s="22" t="s">
        <v>5</v>
      </c>
      <c r="C35" s="13">
        <v>13.843550797700001</v>
      </c>
      <c r="D35" s="13">
        <v>2.9162709435999998</v>
      </c>
      <c r="E35" s="13">
        <v>4.5139333260188357</v>
      </c>
      <c r="F35" s="13">
        <v>10.03993764443238</v>
      </c>
      <c r="G35" s="13">
        <v>12.531332593828143</v>
      </c>
      <c r="H35" s="13">
        <v>13.047961003397271</v>
      </c>
      <c r="I35" s="15">
        <v>12.927145330737575</v>
      </c>
      <c r="J35" s="15">
        <v>13.275664436997296</v>
      </c>
      <c r="K35" s="15">
        <v>13.827543828248384</v>
      </c>
      <c r="L35" s="15">
        <v>14.443965945112341</v>
      </c>
      <c r="M35" s="15">
        <v>15.016109404253996</v>
      </c>
      <c r="N35" s="15">
        <v>15.611203002128324</v>
      </c>
      <c r="P35" s="22" t="s">
        <v>5</v>
      </c>
      <c r="Q35" s="17">
        <v>0.2481484484893548</v>
      </c>
      <c r="R35" s="17">
        <v>4.1226933025748203E-2</v>
      </c>
      <c r="S35" s="79">
        <v>-9.2593526780344604E-3</v>
      </c>
      <c r="T35" s="79">
        <v>2.6960252812430863E-2</v>
      </c>
      <c r="U35" s="79">
        <v>4.1570754810063004E-2</v>
      </c>
      <c r="V35" s="79">
        <v>4.4579292209847354E-2</v>
      </c>
      <c r="W35" s="79">
        <v>3.9611243983530775E-2</v>
      </c>
      <c r="X35" s="79">
        <v>3.963034510828356E-2</v>
      </c>
      <c r="Y35" s="17"/>
    </row>
    <row r="36" spans="2:25" ht="4.25" customHeight="1" x14ac:dyDescent="0.15">
      <c r="B36" s="24"/>
      <c r="C36" s="25"/>
      <c r="D36" s="25"/>
      <c r="E36" s="25"/>
      <c r="F36" s="25"/>
      <c r="G36" s="25"/>
      <c r="H36" s="25"/>
      <c r="I36" s="26"/>
      <c r="J36" s="26"/>
      <c r="K36" s="26"/>
      <c r="L36" s="26"/>
      <c r="M36" s="26"/>
      <c r="N36" s="26"/>
      <c r="P36" s="24"/>
      <c r="Q36" s="83"/>
      <c r="R36" s="83"/>
      <c r="S36" s="84"/>
      <c r="T36" s="84"/>
      <c r="U36" s="84"/>
      <c r="V36" s="84"/>
      <c r="W36" s="84"/>
      <c r="X36" s="84"/>
      <c r="Y36" s="17"/>
    </row>
    <row r="37" spans="2:25" ht="4.25" customHeight="1" x14ac:dyDescent="0.15">
      <c r="B37" s="20"/>
      <c r="C37" s="18"/>
      <c r="D37" s="18"/>
      <c r="E37" s="18"/>
      <c r="F37" s="18"/>
      <c r="G37" s="18"/>
      <c r="H37" s="18"/>
      <c r="I37" s="19"/>
      <c r="J37" s="19"/>
      <c r="K37" s="19"/>
      <c r="L37" s="19"/>
      <c r="M37" s="19"/>
      <c r="N37" s="19"/>
      <c r="P37" s="20"/>
      <c r="Q37" s="80"/>
      <c r="R37" s="80"/>
      <c r="S37" s="81"/>
      <c r="T37" s="81"/>
      <c r="U37" s="81"/>
      <c r="V37" s="81"/>
      <c r="W37" s="81"/>
      <c r="X37" s="81"/>
      <c r="Y37" s="17"/>
    </row>
    <row r="38" spans="2:25" x14ac:dyDescent="0.15">
      <c r="B38" s="118" t="s">
        <v>20</v>
      </c>
      <c r="I38" s="8"/>
      <c r="J38" s="8"/>
      <c r="K38" s="8"/>
      <c r="L38" s="8"/>
      <c r="M38" s="8"/>
      <c r="N38" s="8"/>
      <c r="P38" s="118" t="s">
        <v>20</v>
      </c>
      <c r="Q38" s="80"/>
      <c r="R38" s="80"/>
      <c r="S38" s="81"/>
      <c r="T38" s="81"/>
      <c r="U38" s="81"/>
      <c r="V38" s="81"/>
      <c r="W38" s="81"/>
      <c r="X38" s="81"/>
      <c r="Y38" s="17"/>
    </row>
    <row r="39" spans="2:25" x14ac:dyDescent="0.15">
      <c r="B39" s="118"/>
      <c r="C39" s="27">
        <v>144.85065166800001</v>
      </c>
      <c r="D39" s="27">
        <v>68.255537027000003</v>
      </c>
      <c r="E39" s="27">
        <v>105.02807364500001</v>
      </c>
      <c r="F39" s="27">
        <v>142.50601855100001</v>
      </c>
      <c r="G39" s="27">
        <v>151.114811291</v>
      </c>
      <c r="H39" s="27">
        <v>156.18956691599999</v>
      </c>
      <c r="I39" s="28">
        <v>158.864619602</v>
      </c>
      <c r="J39" s="28">
        <v>166.51448708152989</v>
      </c>
      <c r="K39" s="28">
        <v>172.02341629076639</v>
      </c>
      <c r="L39" s="28">
        <v>179.24903187566687</v>
      </c>
      <c r="M39" s="28">
        <v>187.36830622552611</v>
      </c>
      <c r="N39" s="28">
        <v>196.08745707160568</v>
      </c>
      <c r="P39" s="118"/>
      <c r="Q39" s="44">
        <v>7.1510340437677566E-2</v>
      </c>
      <c r="R39" s="44">
        <v>3.3582119327983051E-2</v>
      </c>
      <c r="S39" s="78">
        <v>1.7126961415026454E-2</v>
      </c>
      <c r="T39" s="78">
        <v>4.8153374229547907E-2</v>
      </c>
      <c r="U39" s="78">
        <v>3.3083783313935911E-2</v>
      </c>
      <c r="V39" s="78">
        <v>4.2003674503750199E-2</v>
      </c>
      <c r="W39" s="78">
        <v>4.5296056915336891E-2</v>
      </c>
      <c r="X39" s="78">
        <v>4.6534822359896699E-2</v>
      </c>
      <c r="Y39" s="17"/>
    </row>
    <row r="40" spans="2:25" ht="13.25" customHeight="1" x14ac:dyDescent="0.15">
      <c r="B40" s="29" t="s">
        <v>6</v>
      </c>
      <c r="C40" s="30">
        <v>116.713835668</v>
      </c>
      <c r="D40" s="30">
        <v>62.955578184824752</v>
      </c>
      <c r="E40" s="30">
        <v>99.854221812570231</v>
      </c>
      <c r="F40" s="30">
        <v>124.9200216012249</v>
      </c>
      <c r="G40" s="30">
        <v>128.56607187202277</v>
      </c>
      <c r="H40" s="30">
        <v>130.15425506643405</v>
      </c>
      <c r="I40" s="31">
        <v>133.449902262633</v>
      </c>
      <c r="J40" s="31">
        <v>139.88547629525937</v>
      </c>
      <c r="K40" s="31">
        <v>143.62312385496057</v>
      </c>
      <c r="L40" s="31">
        <v>148.94485267698329</v>
      </c>
      <c r="M40" s="31">
        <v>155.2119556327977</v>
      </c>
      <c r="N40" s="31">
        <v>161.97158386402617</v>
      </c>
      <c r="P40" s="29" t="s">
        <v>6</v>
      </c>
      <c r="Q40" s="17">
        <v>4.1850068265971263E-2</v>
      </c>
      <c r="R40" s="17">
        <v>1.2353050624368311E-2</v>
      </c>
      <c r="S40" s="79">
        <v>2.5321086848192342E-2</v>
      </c>
      <c r="T40" s="79">
        <v>4.8224644031293229E-2</v>
      </c>
      <c r="U40" s="79">
        <v>2.6719339696224642E-2</v>
      </c>
      <c r="V40" s="79">
        <v>3.7053426211484775E-2</v>
      </c>
      <c r="W40" s="79">
        <v>4.2076666921856409E-2</v>
      </c>
      <c r="X40" s="79">
        <v>4.3550950721995108E-2</v>
      </c>
      <c r="Y40" s="17"/>
    </row>
    <row r="41" spans="2:25" ht="13.25" customHeight="1" x14ac:dyDescent="0.15">
      <c r="B41" s="32" t="s">
        <v>4</v>
      </c>
      <c r="C41" s="30">
        <v>28.47540004004145</v>
      </c>
      <c r="D41" s="30">
        <v>10.245024291812809</v>
      </c>
      <c r="E41" s="30">
        <v>16.73379955585429</v>
      </c>
      <c r="F41" s="30">
        <v>26.386273515297376</v>
      </c>
      <c r="G41" s="30">
        <v>27.806056364525165</v>
      </c>
      <c r="H41" s="30">
        <v>28.351607222657602</v>
      </c>
      <c r="I41" s="31">
        <v>28.706106123031521</v>
      </c>
      <c r="J41" s="31">
        <v>30.083837132451855</v>
      </c>
      <c r="K41" s="31">
        <v>31.533488655584954</v>
      </c>
      <c r="L41" s="31">
        <v>32.532555129544519</v>
      </c>
      <c r="M41" s="31">
        <v>34.180618266682949</v>
      </c>
      <c r="N41" s="31">
        <v>35.853940003015467</v>
      </c>
      <c r="P41" s="32" t="s">
        <v>4</v>
      </c>
      <c r="Q41" s="17">
        <v>5.3807630259145034E-2</v>
      </c>
      <c r="R41" s="17">
        <v>1.9619857306642396E-2</v>
      </c>
      <c r="S41" s="79">
        <v>1.2503661524014609E-2</v>
      </c>
      <c r="T41" s="79">
        <v>4.7994353658260547E-2</v>
      </c>
      <c r="U41" s="79">
        <v>4.8187055286552427E-2</v>
      </c>
      <c r="V41" s="79">
        <v>3.1682713095007253E-2</v>
      </c>
      <c r="W41" s="79">
        <v>5.0658890166353387E-2</v>
      </c>
      <c r="X41" s="79">
        <v>4.8955279956523379E-2</v>
      </c>
      <c r="Y41" s="17"/>
    </row>
    <row r="42" spans="2:25" ht="13.25" customHeight="1" x14ac:dyDescent="0.15">
      <c r="B42" s="22" t="s">
        <v>64</v>
      </c>
      <c r="C42" s="30">
        <v>5.5729758961189066</v>
      </c>
      <c r="D42" s="74" t="s">
        <v>63</v>
      </c>
      <c r="E42" s="74" t="s">
        <v>63</v>
      </c>
      <c r="F42" s="74" t="s">
        <v>63</v>
      </c>
      <c r="G42" s="30">
        <v>4.443111004632768</v>
      </c>
      <c r="H42" s="30">
        <v>4.8713201381751983</v>
      </c>
      <c r="I42" s="31">
        <v>5.0605907484802728</v>
      </c>
      <c r="J42" s="31">
        <v>5.3618617411242715</v>
      </c>
      <c r="K42" s="31">
        <v>5.58094863313839</v>
      </c>
      <c r="L42" s="31">
        <v>5.7577624697118575</v>
      </c>
      <c r="M42" s="31">
        <v>6.0615492643658042</v>
      </c>
      <c r="N42" s="31">
        <v>6.3582877472789843</v>
      </c>
      <c r="P42" s="22" t="s">
        <v>64</v>
      </c>
      <c r="Q42" s="82" t="s">
        <v>63</v>
      </c>
      <c r="R42" s="17">
        <v>9.6375970147030587E-2</v>
      </c>
      <c r="S42" s="79">
        <v>3.8854069315176654E-2</v>
      </c>
      <c r="T42" s="79">
        <v>5.9532771492038172E-2</v>
      </c>
      <c r="U42" s="79">
        <v>4.0860227770099122E-2</v>
      </c>
      <c r="V42" s="79">
        <v>3.1681681412293994E-2</v>
      </c>
      <c r="W42" s="79">
        <v>5.27612586055759E-2</v>
      </c>
      <c r="X42" s="79">
        <v>4.8954231001243409E-2</v>
      </c>
      <c r="Y42" s="17"/>
    </row>
    <row r="43" spans="2:25" ht="13.25" customHeight="1" x14ac:dyDescent="0.15">
      <c r="B43" s="32" t="s">
        <v>5</v>
      </c>
      <c r="C43" s="30">
        <v>88.238435627958566</v>
      </c>
      <c r="D43" s="30">
        <v>52.710553893011948</v>
      </c>
      <c r="E43" s="30">
        <v>83.120422256715941</v>
      </c>
      <c r="F43" s="30">
        <v>98.533748085927527</v>
      </c>
      <c r="G43" s="30">
        <v>100.76001550749761</v>
      </c>
      <c r="H43" s="30">
        <v>101.80264784377644</v>
      </c>
      <c r="I43" s="31">
        <v>104.74379613960149</v>
      </c>
      <c r="J43" s="31">
        <v>109.8016391628075</v>
      </c>
      <c r="K43" s="31">
        <v>112.08963519937561</v>
      </c>
      <c r="L43" s="31">
        <v>116.41229754743877</v>
      </c>
      <c r="M43" s="31">
        <v>121.03133736611474</v>
      </c>
      <c r="N43" s="31">
        <v>126.11764386101071</v>
      </c>
      <c r="P43" s="32" t="s">
        <v>5</v>
      </c>
      <c r="Q43" s="17">
        <v>3.8647962312863271E-2</v>
      </c>
      <c r="R43" s="17">
        <v>1.0347679394722364E-2</v>
      </c>
      <c r="S43" s="79">
        <v>2.889068563657049E-2</v>
      </c>
      <c r="T43" s="79">
        <v>4.8287757457873504E-2</v>
      </c>
      <c r="U43" s="79">
        <v>2.083753989478776E-2</v>
      </c>
      <c r="V43" s="79">
        <v>3.8564335947515405E-2</v>
      </c>
      <c r="W43" s="79">
        <v>3.9678280697051704E-2</v>
      </c>
      <c r="X43" s="79">
        <v>4.2024707035253961E-2</v>
      </c>
      <c r="Y43" s="17"/>
    </row>
    <row r="44" spans="2:25" x14ac:dyDescent="0.15">
      <c r="B44" s="29" t="s">
        <v>16</v>
      </c>
      <c r="C44" s="34">
        <v>28.136815999999996</v>
      </c>
      <c r="D44" s="34">
        <v>5.299958842175247</v>
      </c>
      <c r="E44" s="34">
        <v>5.1738518324297704</v>
      </c>
      <c r="F44" s="34">
        <v>17.585996949775105</v>
      </c>
      <c r="G44" s="34">
        <v>22.548739418977213</v>
      </c>
      <c r="H44" s="34">
        <v>26.035311849565957</v>
      </c>
      <c r="I44" s="35">
        <v>25.414717339367012</v>
      </c>
      <c r="J44" s="35">
        <v>26.629010786270534</v>
      </c>
      <c r="K44" s="35">
        <v>28.400292435805824</v>
      </c>
      <c r="L44" s="35">
        <v>30.304179198683595</v>
      </c>
      <c r="M44" s="35">
        <v>32.156350592728401</v>
      </c>
      <c r="N44" s="35">
        <v>34.115873207579497</v>
      </c>
      <c r="P44" s="29" t="s">
        <v>16</v>
      </c>
      <c r="Q44" s="44">
        <v>0.28219852894183362</v>
      </c>
      <c r="R44" s="44">
        <v>0.15462382911101513</v>
      </c>
      <c r="S44" s="78">
        <v>-2.3836645928606015E-2</v>
      </c>
      <c r="T44" s="78">
        <v>4.7779144292216857E-2</v>
      </c>
      <c r="U44" s="78">
        <v>6.6516990201098025E-2</v>
      </c>
      <c r="V44" s="78">
        <v>6.7037576010218647E-2</v>
      </c>
      <c r="W44" s="78">
        <v>6.1119338751971952E-2</v>
      </c>
      <c r="X44" s="78">
        <v>6.0937344528586124E-2</v>
      </c>
      <c r="Y44" s="17"/>
    </row>
    <row r="45" spans="2:25" x14ac:dyDescent="0.15">
      <c r="B45" s="32" t="s">
        <v>4</v>
      </c>
      <c r="C45" s="30">
        <v>6.5425467671709967</v>
      </c>
      <c r="D45" s="30">
        <v>1.400225419671943</v>
      </c>
      <c r="E45" s="30">
        <v>0.77229638497572906</v>
      </c>
      <c r="F45" s="30">
        <v>2.9103122732302111</v>
      </c>
      <c r="G45" s="30">
        <v>4.0809312334060124</v>
      </c>
      <c r="H45" s="30">
        <v>5.8787734156319935</v>
      </c>
      <c r="I45" s="31">
        <v>5.7909466635134912</v>
      </c>
      <c r="J45" s="31">
        <v>6.0122826104979055</v>
      </c>
      <c r="K45" s="31">
        <v>6.5787242177387384</v>
      </c>
      <c r="L45" s="31">
        <v>6.9586397368699124</v>
      </c>
      <c r="M45" s="31">
        <v>7.396785709557431</v>
      </c>
      <c r="N45" s="31">
        <v>7.827054038767308</v>
      </c>
      <c r="P45" s="32" t="s">
        <v>4</v>
      </c>
      <c r="Q45" s="17">
        <v>0.40223139315442213</v>
      </c>
      <c r="R45" s="17">
        <v>0.44054704169211711</v>
      </c>
      <c r="S45" s="79">
        <v>-1.4939638919398757E-2</v>
      </c>
      <c r="T45" s="79">
        <v>3.8221030143303913E-2</v>
      </c>
      <c r="U45" s="79">
        <v>9.4214068755148483E-2</v>
      </c>
      <c r="V45" s="79">
        <v>5.7749117694700924E-2</v>
      </c>
      <c r="W45" s="79">
        <v>6.2964313322046328E-2</v>
      </c>
      <c r="X45" s="79">
        <v>5.8169635582915991E-2</v>
      </c>
      <c r="Y45" s="17"/>
    </row>
    <row r="46" spans="2:25" x14ac:dyDescent="0.15">
      <c r="B46" s="32" t="s">
        <v>5</v>
      </c>
      <c r="C46" s="30">
        <v>21.594269232828999</v>
      </c>
      <c r="D46" s="30">
        <v>3.8997334225033038</v>
      </c>
      <c r="E46" s="30">
        <v>4.401555447454041</v>
      </c>
      <c r="F46" s="30">
        <v>14.675684676544893</v>
      </c>
      <c r="G46" s="30">
        <v>18.467808185571201</v>
      </c>
      <c r="H46" s="30">
        <v>20.156538433933964</v>
      </c>
      <c r="I46" s="31">
        <v>19.623770675853521</v>
      </c>
      <c r="J46" s="31">
        <v>20.616728175772629</v>
      </c>
      <c r="K46" s="31">
        <v>21.821568218067085</v>
      </c>
      <c r="L46" s="31">
        <v>23.345539461813683</v>
      </c>
      <c r="M46" s="31">
        <v>24.75956488317097</v>
      </c>
      <c r="N46" s="31">
        <v>26.288819168812189</v>
      </c>
      <c r="P46" s="32" t="s">
        <v>5</v>
      </c>
      <c r="Q46" s="17">
        <v>0.25839499775346009</v>
      </c>
      <c r="R46" s="17">
        <v>9.1441833887042412E-2</v>
      </c>
      <c r="S46" s="79">
        <v>-2.6431510540694703E-2</v>
      </c>
      <c r="T46" s="79">
        <v>5.0599730109000651E-2</v>
      </c>
      <c r="U46" s="79">
        <v>5.8439924706884527E-2</v>
      </c>
      <c r="V46" s="79">
        <v>6.9837842473889244E-2</v>
      </c>
      <c r="W46" s="79">
        <v>6.0569404432491591E-2</v>
      </c>
      <c r="X46" s="79">
        <v>6.1764182563670555E-2</v>
      </c>
      <c r="Y46" s="17"/>
    </row>
    <row r="47" spans="2:25" ht="4.25" customHeight="1" x14ac:dyDescent="0.15">
      <c r="C47" s="36"/>
      <c r="D47" s="36"/>
      <c r="E47" s="36"/>
      <c r="F47" s="36"/>
      <c r="G47" s="36"/>
      <c r="H47" s="36"/>
      <c r="I47" s="37"/>
      <c r="J47" s="37"/>
      <c r="K47" s="37"/>
      <c r="L47" s="37"/>
      <c r="M47" s="37"/>
      <c r="N47" s="37"/>
      <c r="Q47" s="36"/>
      <c r="R47" s="36"/>
      <c r="S47" s="37"/>
      <c r="T47" s="37"/>
      <c r="U47" s="37"/>
      <c r="V47" s="37"/>
      <c r="W47" s="37"/>
      <c r="X47" s="37"/>
      <c r="Y47" s="17"/>
    </row>
    <row r="48" spans="2:25" x14ac:dyDescent="0.15">
      <c r="B48" s="38" t="s">
        <v>58</v>
      </c>
      <c r="P48" s="38"/>
    </row>
    <row r="51" spans="2:24" ht="16" x14ac:dyDescent="0.2">
      <c r="B51" s="1" t="s">
        <v>22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P51" s="117" t="s">
        <v>68</v>
      </c>
      <c r="Q51" s="117"/>
      <c r="R51" s="117"/>
      <c r="S51" s="117"/>
      <c r="T51" s="117"/>
      <c r="U51" s="117"/>
      <c r="V51" s="117"/>
      <c r="W51" s="117"/>
    </row>
    <row r="52" spans="2:24" ht="16" x14ac:dyDescent="0.2">
      <c r="C52" s="4"/>
      <c r="D52" s="4"/>
      <c r="E52" s="3"/>
      <c r="H52" s="75"/>
      <c r="I52" s="3" t="s">
        <v>69</v>
      </c>
      <c r="J52" s="3" t="s">
        <v>2</v>
      </c>
      <c r="R52" s="75"/>
      <c r="S52" s="3" t="s">
        <v>69</v>
      </c>
      <c r="T52" s="3" t="s">
        <v>2</v>
      </c>
    </row>
    <row r="53" spans="2:24" ht="4.25" customHeight="1" x14ac:dyDescent="0.2">
      <c r="B53" s="4"/>
      <c r="P53" s="4" t="s">
        <v>21</v>
      </c>
    </row>
    <row r="54" spans="2:24" x14ac:dyDescent="0.15">
      <c r="B54" s="40"/>
      <c r="C54" s="5">
        <v>2019</v>
      </c>
      <c r="D54" s="5">
        <v>2020</v>
      </c>
      <c r="E54" s="5">
        <v>2021</v>
      </c>
      <c r="F54" s="5">
        <v>2022</v>
      </c>
      <c r="G54" s="5">
        <v>2023</v>
      </c>
      <c r="H54" s="5">
        <v>2024</v>
      </c>
      <c r="I54" s="6">
        <v>2025</v>
      </c>
      <c r="J54" s="6">
        <v>2026</v>
      </c>
      <c r="K54" s="6">
        <v>2027</v>
      </c>
      <c r="L54" s="6">
        <v>2028</v>
      </c>
      <c r="M54" s="6">
        <v>2029</v>
      </c>
      <c r="N54" s="6">
        <v>2030</v>
      </c>
      <c r="P54" s="40"/>
      <c r="Q54" s="5">
        <v>2023</v>
      </c>
      <c r="R54" s="5">
        <v>2024</v>
      </c>
      <c r="S54" s="6">
        <v>2025</v>
      </c>
      <c r="T54" s="6">
        <v>2026</v>
      </c>
      <c r="U54" s="6">
        <v>2027</v>
      </c>
      <c r="V54" s="6">
        <v>2028</v>
      </c>
      <c r="W54" s="6">
        <v>2029</v>
      </c>
      <c r="X54" s="6">
        <v>2030</v>
      </c>
    </row>
    <row r="55" spans="2:24" x14ac:dyDescent="0.15">
      <c r="B55" s="40"/>
      <c r="I55" s="8"/>
      <c r="J55" s="8"/>
      <c r="K55" s="8"/>
      <c r="L55" s="8"/>
      <c r="M55" s="8"/>
      <c r="N55" s="8"/>
      <c r="P55" s="40"/>
      <c r="S55" s="8"/>
      <c r="T55" s="8"/>
      <c r="U55" s="8"/>
      <c r="V55" s="8"/>
      <c r="W55" s="8"/>
      <c r="X55" s="8"/>
    </row>
    <row r="56" spans="2:24" x14ac:dyDescent="0.15">
      <c r="B56" s="40" t="s">
        <v>7</v>
      </c>
      <c r="C56" s="41">
        <v>220.75544895660056</v>
      </c>
      <c r="D56" s="41">
        <v>120.79141745494412</v>
      </c>
      <c r="E56" s="42">
        <v>183.07177221146821</v>
      </c>
      <c r="F56" s="42">
        <v>209.08732408164042</v>
      </c>
      <c r="G56" s="42">
        <v>210.00923496176955</v>
      </c>
      <c r="H56" s="42">
        <v>212.25778199196486</v>
      </c>
      <c r="I56" s="43">
        <v>214.15589425422476</v>
      </c>
      <c r="J56" s="43">
        <v>217.47063745624843</v>
      </c>
      <c r="K56" s="43">
        <v>222.13898052827193</v>
      </c>
      <c r="L56" s="43">
        <v>227.34177167078241</v>
      </c>
      <c r="M56" s="43">
        <v>232.24255297247078</v>
      </c>
      <c r="N56" s="43">
        <v>238.3536660323694</v>
      </c>
      <c r="P56" s="40" t="s">
        <v>7</v>
      </c>
      <c r="Q56" s="44">
        <v>4.4092145909770952E-3</v>
      </c>
      <c r="R56" s="44">
        <v>1.0706895963906726E-2</v>
      </c>
      <c r="S56" s="78">
        <v>8.9424860867139966E-3</v>
      </c>
      <c r="T56" s="78">
        <v>1.5478178705129242E-2</v>
      </c>
      <c r="U56" s="78">
        <v>2.1466544295952072E-2</v>
      </c>
      <c r="V56" s="78">
        <v>2.3421333482928741E-2</v>
      </c>
      <c r="W56" s="78">
        <v>2.155688884480611E-2</v>
      </c>
      <c r="X56" s="78">
        <v>2.6313494153773931E-2</v>
      </c>
    </row>
    <row r="57" spans="2:24" ht="4.25" customHeight="1" x14ac:dyDescent="0.15">
      <c r="B57" s="40"/>
      <c r="I57" s="8"/>
      <c r="J57" s="8"/>
      <c r="K57" s="8"/>
      <c r="L57" s="8"/>
      <c r="M57" s="8"/>
      <c r="N57" s="8"/>
      <c r="P57" s="40"/>
      <c r="Q57" s="80"/>
      <c r="R57" s="80"/>
      <c r="S57" s="81"/>
      <c r="T57" s="81"/>
      <c r="U57" s="81"/>
      <c r="V57" s="81"/>
      <c r="W57" s="81"/>
      <c r="X57" s="81"/>
    </row>
    <row r="58" spans="2:24" x14ac:dyDescent="0.15">
      <c r="B58" s="29" t="s">
        <v>23</v>
      </c>
      <c r="C58" s="45">
        <v>126.37304793406194</v>
      </c>
      <c r="D58" s="45">
        <v>84.902830514454521</v>
      </c>
      <c r="E58" s="45">
        <v>101.63178631639249</v>
      </c>
      <c r="F58" s="45">
        <v>117.39064787965428</v>
      </c>
      <c r="G58" s="45">
        <v>117.43657194530515</v>
      </c>
      <c r="H58" s="45">
        <v>118.33219660239592</v>
      </c>
      <c r="I58" s="46">
        <v>118.90906094392432</v>
      </c>
      <c r="J58" s="46">
        <v>120.85580878979424</v>
      </c>
      <c r="K58" s="46">
        <v>123.3750886991867</v>
      </c>
      <c r="L58" s="46">
        <v>126.38724660389254</v>
      </c>
      <c r="M58" s="46">
        <v>129.0576942823956</v>
      </c>
      <c r="N58" s="46">
        <v>132.49859997064178</v>
      </c>
      <c r="P58" s="29" t="s">
        <v>23</v>
      </c>
      <c r="Q58" s="44">
        <v>3.9120719137653026E-4</v>
      </c>
      <c r="R58" s="44">
        <v>7.6264543681325847E-3</v>
      </c>
      <c r="S58" s="78">
        <v>4.8749567581061193E-3</v>
      </c>
      <c r="T58" s="78">
        <v>1.6371736774441148E-2</v>
      </c>
      <c r="U58" s="78">
        <v>2.084533573205638E-2</v>
      </c>
      <c r="V58" s="78">
        <v>2.4414636183565985E-2</v>
      </c>
      <c r="W58" s="78">
        <v>2.1129091346316464E-2</v>
      </c>
      <c r="X58" s="78">
        <v>2.6661763232163516E-2</v>
      </c>
    </row>
    <row r="59" spans="2:24" ht="4.25" customHeight="1" x14ac:dyDescent="0.15">
      <c r="B59" s="29"/>
      <c r="C59" s="47"/>
      <c r="I59" s="8"/>
      <c r="J59" s="8"/>
      <c r="K59" s="8"/>
      <c r="L59" s="8"/>
      <c r="M59" s="8"/>
      <c r="N59" s="8"/>
      <c r="P59" s="29"/>
      <c r="Q59" s="80"/>
      <c r="R59" s="80"/>
      <c r="S59" s="81"/>
      <c r="T59" s="81"/>
      <c r="U59" s="81"/>
      <c r="V59" s="81"/>
      <c r="W59" s="81"/>
      <c r="X59" s="81"/>
    </row>
    <row r="60" spans="2:24" x14ac:dyDescent="0.15">
      <c r="B60" s="29" t="s">
        <v>24</v>
      </c>
      <c r="C60" s="45">
        <v>41.106538462092608</v>
      </c>
      <c r="D60" s="45">
        <v>13.995912046045948</v>
      </c>
      <c r="E60" s="45">
        <v>35.554586404704551</v>
      </c>
      <c r="F60" s="45">
        <v>40.257056236129579</v>
      </c>
      <c r="G60" s="45">
        <v>40.658114296207337</v>
      </c>
      <c r="H60" s="45">
        <v>41.082532506350283</v>
      </c>
      <c r="I60" s="46">
        <v>41.647534961814131</v>
      </c>
      <c r="J60" s="46">
        <v>42.252473267148396</v>
      </c>
      <c r="K60" s="46">
        <v>43.178203643868635</v>
      </c>
      <c r="L60" s="46">
        <v>44.066491943120155</v>
      </c>
      <c r="M60" s="46">
        <v>44.960731468489719</v>
      </c>
      <c r="N60" s="46">
        <v>45.942754113534839</v>
      </c>
      <c r="P60" s="29" t="s">
        <v>24</v>
      </c>
      <c r="Q60" s="44">
        <v>9.9624288901138947E-3</v>
      </c>
      <c r="R60" s="44">
        <v>1.0438708668358831E-2</v>
      </c>
      <c r="S60" s="78">
        <v>1.3752863345912525E-2</v>
      </c>
      <c r="T60" s="78">
        <v>1.4525188726989935E-2</v>
      </c>
      <c r="U60" s="78">
        <v>2.1909495590167083E-2</v>
      </c>
      <c r="V60" s="78">
        <v>2.0572608962106775E-2</v>
      </c>
      <c r="W60" s="78">
        <v>2.0292959251755782E-2</v>
      </c>
      <c r="X60" s="78">
        <v>2.1841785330680485E-2</v>
      </c>
    </row>
    <row r="61" spans="2:24" x14ac:dyDescent="0.15">
      <c r="B61" s="32" t="s">
        <v>25</v>
      </c>
      <c r="C61" s="47">
        <v>12.319846041117485</v>
      </c>
      <c r="D61" s="47">
        <v>3.8948974888331156</v>
      </c>
      <c r="E61" s="47">
        <v>11.37115912789799</v>
      </c>
      <c r="F61" s="47">
        <v>13.127959279458302</v>
      </c>
      <c r="G61" s="47">
        <v>13.265035242832592</v>
      </c>
      <c r="H61" s="47">
        <v>13.311336462528818</v>
      </c>
      <c r="I61" s="48">
        <v>13.489193195786324</v>
      </c>
      <c r="J61" s="48">
        <v>13.773165681377723</v>
      </c>
      <c r="K61" s="48">
        <v>14.082705732321989</v>
      </c>
      <c r="L61" s="48">
        <v>14.350185165762602</v>
      </c>
      <c r="M61" s="48">
        <v>14.620032328517466</v>
      </c>
      <c r="N61" s="48">
        <v>14.863184117413329</v>
      </c>
      <c r="P61" s="32" t="s">
        <v>25</v>
      </c>
      <c r="Q61" s="17">
        <v>1.0441528683652779E-2</v>
      </c>
      <c r="R61" s="17">
        <v>3.4904709145979762E-3</v>
      </c>
      <c r="S61" s="79">
        <v>1.3361298000254873E-2</v>
      </c>
      <c r="T61" s="79">
        <v>2.1051851023981438E-2</v>
      </c>
      <c r="U61" s="79">
        <v>2.2474139795093384E-2</v>
      </c>
      <c r="V61" s="79">
        <v>1.8993468906099986E-2</v>
      </c>
      <c r="W61" s="79">
        <v>1.8804437687583331E-2</v>
      </c>
      <c r="X61" s="79">
        <v>1.6631412532623235E-2</v>
      </c>
    </row>
    <row r="62" spans="2:24" x14ac:dyDescent="0.15">
      <c r="B62" s="32" t="s">
        <v>26</v>
      </c>
      <c r="C62" s="47">
        <v>4.0578004217356876</v>
      </c>
      <c r="D62" s="47">
        <v>1.3008608783003475</v>
      </c>
      <c r="E62" s="47">
        <v>3.3752100481970744</v>
      </c>
      <c r="F62" s="47">
        <v>3.7744311488132358</v>
      </c>
      <c r="G62" s="47">
        <v>3.8288747701506827</v>
      </c>
      <c r="H62" s="47">
        <v>3.8579110081331147</v>
      </c>
      <c r="I62" s="48">
        <v>3.8906221288581668</v>
      </c>
      <c r="J62" s="48">
        <v>3.8951700963495037</v>
      </c>
      <c r="K62" s="48">
        <v>3.9717410612989883</v>
      </c>
      <c r="L62" s="48">
        <v>4.0576558170020443</v>
      </c>
      <c r="M62" s="48">
        <v>4.1416453220068847</v>
      </c>
      <c r="N62" s="48">
        <v>4.2148636556138515</v>
      </c>
      <c r="P62" s="32" t="s">
        <v>26</v>
      </c>
      <c r="Q62" s="17">
        <v>1.4424324935577326E-2</v>
      </c>
      <c r="R62" s="17">
        <v>7.5834911626764256E-3</v>
      </c>
      <c r="S62" s="79">
        <v>8.4789723391989202E-3</v>
      </c>
      <c r="T62" s="79">
        <v>1.1689563624293076E-3</v>
      </c>
      <c r="U62" s="79">
        <v>1.9657925855727232E-2</v>
      </c>
      <c r="V62" s="79">
        <v>2.1631509803148319E-2</v>
      </c>
      <c r="W62" s="79">
        <v>2.0699021502246451E-2</v>
      </c>
      <c r="X62" s="79">
        <v>1.7678561999965758E-2</v>
      </c>
    </row>
    <row r="63" spans="2:24" x14ac:dyDescent="0.15">
      <c r="B63" s="32" t="s">
        <v>27</v>
      </c>
      <c r="C63" s="47">
        <v>10.028678540802387</v>
      </c>
      <c r="D63" s="47">
        <v>3.0784771530229094</v>
      </c>
      <c r="E63" s="47">
        <v>7.9074531483701422</v>
      </c>
      <c r="F63" s="47">
        <v>9.0225387652993216</v>
      </c>
      <c r="G63" s="47">
        <v>9.1110753270368185</v>
      </c>
      <c r="H63" s="47">
        <v>9.2563825560954331</v>
      </c>
      <c r="I63" s="48">
        <v>9.4049683580446715</v>
      </c>
      <c r="J63" s="48">
        <v>9.5476511396724835</v>
      </c>
      <c r="K63" s="48">
        <v>9.7740985424619549</v>
      </c>
      <c r="L63" s="48">
        <v>9.9618591726984445</v>
      </c>
      <c r="M63" s="48">
        <v>10.179259814274467</v>
      </c>
      <c r="N63" s="48">
        <v>10.394756482982563</v>
      </c>
      <c r="P63" s="32" t="s">
        <v>27</v>
      </c>
      <c r="Q63" s="17">
        <v>9.8128214287100946E-3</v>
      </c>
      <c r="R63" s="17">
        <v>1.5948417046604879E-2</v>
      </c>
      <c r="S63" s="79">
        <v>1.6052253787997683E-2</v>
      </c>
      <c r="T63" s="79">
        <v>1.5171000708978033E-2</v>
      </c>
      <c r="U63" s="79">
        <v>2.3717603364091788E-2</v>
      </c>
      <c r="V63" s="79">
        <v>1.9210020179435849E-2</v>
      </c>
      <c r="W63" s="79">
        <v>2.1823300029359283E-2</v>
      </c>
      <c r="X63" s="79">
        <v>2.1170170782545794E-2</v>
      </c>
    </row>
    <row r="64" spans="2:24" x14ac:dyDescent="0.15">
      <c r="B64" s="32" t="s">
        <v>28</v>
      </c>
      <c r="C64" s="47">
        <v>5.1999789111769807</v>
      </c>
      <c r="D64" s="47">
        <v>2.1292246797558114</v>
      </c>
      <c r="E64" s="47">
        <v>4.4957868636630742</v>
      </c>
      <c r="F64" s="47">
        <v>5.0110298439347707</v>
      </c>
      <c r="G64" s="47">
        <v>5.0043885446437528</v>
      </c>
      <c r="H64" s="47">
        <v>5.0483557899269229</v>
      </c>
      <c r="I64" s="48">
        <v>5.0783050549783404</v>
      </c>
      <c r="J64" s="48">
        <v>5.1349163336116668</v>
      </c>
      <c r="K64" s="48">
        <v>5.2496506422334459</v>
      </c>
      <c r="L64" s="48">
        <v>5.3729910440891784</v>
      </c>
      <c r="M64" s="48">
        <v>5.4857295307660259</v>
      </c>
      <c r="N64" s="48">
        <v>5.6407768523509576</v>
      </c>
      <c r="P64" s="32" t="s">
        <v>28</v>
      </c>
      <c r="Q64" s="17">
        <v>-1.3253362078967657E-3</v>
      </c>
      <c r="R64" s="17">
        <v>8.7857377361773015E-3</v>
      </c>
      <c r="S64" s="79">
        <v>5.9324790679722295E-3</v>
      </c>
      <c r="T64" s="79">
        <v>1.1147671914240265E-2</v>
      </c>
      <c r="U64" s="79">
        <v>2.2343948989151263E-2</v>
      </c>
      <c r="V64" s="79">
        <v>2.3494973334693636E-2</v>
      </c>
      <c r="W64" s="79">
        <v>2.0982444554950686E-2</v>
      </c>
      <c r="X64" s="79">
        <v>2.8263756117644645E-2</v>
      </c>
    </row>
    <row r="65" spans="2:24" x14ac:dyDescent="0.15">
      <c r="B65" s="32" t="s">
        <v>29</v>
      </c>
      <c r="C65" s="47">
        <v>3.4042087582944642</v>
      </c>
      <c r="D65" s="47">
        <v>1.1147733556289565</v>
      </c>
      <c r="E65" s="47">
        <v>3.0588834527834181</v>
      </c>
      <c r="F65" s="47">
        <v>3.4234178406977578</v>
      </c>
      <c r="G65" s="47">
        <v>3.4588075497185606</v>
      </c>
      <c r="H65" s="47">
        <v>3.5141315693666773</v>
      </c>
      <c r="I65" s="48">
        <v>3.5785652246994282</v>
      </c>
      <c r="J65" s="48">
        <v>3.6349623249902079</v>
      </c>
      <c r="K65" s="48">
        <v>3.6986815052667423</v>
      </c>
      <c r="L65" s="48">
        <v>3.7717739861469726</v>
      </c>
      <c r="M65" s="48">
        <v>3.8430446072316946</v>
      </c>
      <c r="N65" s="48">
        <v>3.9445896345098319</v>
      </c>
      <c r="P65" s="32" t="s">
        <v>29</v>
      </c>
      <c r="Q65" s="17">
        <v>1.0337537124474938E-2</v>
      </c>
      <c r="R65" s="17">
        <v>1.5995113591277477E-2</v>
      </c>
      <c r="S65" s="79">
        <v>1.8335584215010803E-2</v>
      </c>
      <c r="T65" s="79">
        <v>1.5759696065206219E-2</v>
      </c>
      <c r="U65" s="79">
        <v>1.7529529766640906E-2</v>
      </c>
      <c r="V65" s="79">
        <v>1.976176666635121E-2</v>
      </c>
      <c r="W65" s="79">
        <v>1.8895782553908447E-2</v>
      </c>
      <c r="X65" s="79">
        <v>2.6423067556138546E-2</v>
      </c>
    </row>
    <row r="66" spans="2:24" x14ac:dyDescent="0.15">
      <c r="B66" s="32" t="s">
        <v>30</v>
      </c>
      <c r="C66" s="47">
        <v>6.0960257889656049</v>
      </c>
      <c r="D66" s="47">
        <v>2.4776784905048075</v>
      </c>
      <c r="E66" s="47">
        <v>5.3460937637928518</v>
      </c>
      <c r="F66" s="47">
        <v>5.8976793579261848</v>
      </c>
      <c r="G66" s="47">
        <v>5.989932861824931</v>
      </c>
      <c r="H66" s="47">
        <v>6.0944151202993186</v>
      </c>
      <c r="I66" s="48">
        <v>6.2058809994472028</v>
      </c>
      <c r="J66" s="48">
        <v>6.2666076911468185</v>
      </c>
      <c r="K66" s="48">
        <v>6.4013261602855129</v>
      </c>
      <c r="L66" s="48">
        <v>6.5520267574209079</v>
      </c>
      <c r="M66" s="48">
        <v>6.6910198656931783</v>
      </c>
      <c r="N66" s="48">
        <v>6.8845833706643029</v>
      </c>
      <c r="P66" s="32" t="s">
        <v>30</v>
      </c>
      <c r="Q66" s="17">
        <v>1.5642339689892149E-2</v>
      </c>
      <c r="R66" s="17">
        <v>1.7442976554925105E-2</v>
      </c>
      <c r="S66" s="79">
        <v>1.8289840279605007E-2</v>
      </c>
      <c r="T66" s="79">
        <v>9.7853458203638333E-3</v>
      </c>
      <c r="U66" s="79">
        <v>2.1497830369853643E-2</v>
      </c>
      <c r="V66" s="79">
        <v>2.3542090086013268E-2</v>
      </c>
      <c r="W66" s="79">
        <v>2.1213757729979577E-2</v>
      </c>
      <c r="X66" s="79">
        <v>2.8928849242188193E-2</v>
      </c>
    </row>
    <row r="67" spans="2:24" ht="4.25" customHeight="1" x14ac:dyDescent="0.15">
      <c r="B67" s="32"/>
      <c r="C67" s="47"/>
      <c r="I67" s="8"/>
      <c r="J67" s="8"/>
      <c r="K67" s="8"/>
      <c r="L67" s="8"/>
      <c r="M67" s="8"/>
      <c r="N67" s="8"/>
      <c r="P67" s="32"/>
      <c r="Q67" s="80"/>
      <c r="R67" s="80"/>
      <c r="S67" s="81"/>
      <c r="T67" s="81"/>
      <c r="U67" s="81"/>
      <c r="V67" s="81"/>
      <c r="W67" s="81"/>
      <c r="X67" s="81"/>
    </row>
    <row r="68" spans="2:24" x14ac:dyDescent="0.15">
      <c r="B68" s="29" t="s">
        <v>31</v>
      </c>
      <c r="C68" s="45">
        <v>4.5841081760336255</v>
      </c>
      <c r="D68" s="45">
        <v>1.7456203120217715</v>
      </c>
      <c r="E68" s="45">
        <v>4.1527561317277231</v>
      </c>
      <c r="F68" s="45">
        <v>4.6774408860142325</v>
      </c>
      <c r="G68" s="45">
        <v>4.7259034129640778</v>
      </c>
      <c r="H68" s="45">
        <v>4.8044141072517359</v>
      </c>
      <c r="I68" s="46">
        <v>4.8939135711593096</v>
      </c>
      <c r="J68" s="46">
        <v>4.9682744841846675</v>
      </c>
      <c r="K68" s="46">
        <v>5.0832969200063562</v>
      </c>
      <c r="L68" s="46">
        <v>5.1899193788730962</v>
      </c>
      <c r="M68" s="46">
        <v>5.3036839885862843</v>
      </c>
      <c r="N68" s="46">
        <v>5.442985566974845</v>
      </c>
      <c r="P68" s="29" t="s">
        <v>31</v>
      </c>
      <c r="Q68" s="44">
        <v>1.0360906344054621E-2</v>
      </c>
      <c r="R68" s="44">
        <v>1.6612843604100647E-2</v>
      </c>
      <c r="S68" s="78">
        <v>1.8628590689650171E-2</v>
      </c>
      <c r="T68" s="78">
        <v>1.5194570141896291E-2</v>
      </c>
      <c r="U68" s="78">
        <v>2.31513850911087E-2</v>
      </c>
      <c r="V68" s="78">
        <v>2.0975060191173345E-2</v>
      </c>
      <c r="W68" s="78">
        <v>2.1920303844467526E-2</v>
      </c>
      <c r="X68" s="78">
        <v>2.6265060039086574E-2</v>
      </c>
    </row>
    <row r="69" spans="2:24" x14ac:dyDescent="0.15">
      <c r="B69" s="32" t="s">
        <v>32</v>
      </c>
      <c r="C69" s="47">
        <v>1.8405804427255599</v>
      </c>
      <c r="D69" s="47">
        <v>0.69918258736801142</v>
      </c>
      <c r="E69" s="47">
        <v>1.6587186615692167</v>
      </c>
      <c r="F69" s="47">
        <v>1.8769191275247339</v>
      </c>
      <c r="G69" s="47">
        <v>1.8818979460341716</v>
      </c>
      <c r="H69" s="47">
        <v>1.9248964412082248</v>
      </c>
      <c r="I69" s="48">
        <v>1.9503012336609866</v>
      </c>
      <c r="J69" s="48">
        <v>1.9709422037928335</v>
      </c>
      <c r="K69" s="48">
        <v>2.0097157745837744</v>
      </c>
      <c r="L69" s="48">
        <v>2.0513334214582528</v>
      </c>
      <c r="M69" s="48">
        <v>2.0963287956264578</v>
      </c>
      <c r="N69" s="48">
        <v>2.147701428986132</v>
      </c>
      <c r="P69" s="32" t="s">
        <v>32</v>
      </c>
      <c r="Q69" s="17">
        <v>2.6526547875314055E-3</v>
      </c>
      <c r="R69" s="17">
        <v>2.2848473406682945E-2</v>
      </c>
      <c r="S69" s="79">
        <v>1.3198004790748952E-2</v>
      </c>
      <c r="T69" s="79">
        <v>1.0583477965145249E-2</v>
      </c>
      <c r="U69" s="79">
        <v>1.9672606693552863E-2</v>
      </c>
      <c r="V69" s="79">
        <v>2.0708225213138753E-2</v>
      </c>
      <c r="W69" s="79">
        <v>2.1934695597275677E-2</v>
      </c>
      <c r="X69" s="79">
        <v>2.4505999949460344E-2</v>
      </c>
    </row>
    <row r="70" spans="2:24" x14ac:dyDescent="0.15">
      <c r="B70" s="32" t="s">
        <v>33</v>
      </c>
      <c r="C70" s="47">
        <v>1.3482338492890438</v>
      </c>
      <c r="D70" s="47">
        <v>0.50147086760118587</v>
      </c>
      <c r="E70" s="47">
        <v>1.2348020749189714</v>
      </c>
      <c r="F70" s="47">
        <v>1.4061534722283435</v>
      </c>
      <c r="G70" s="47">
        <v>1.4348995619953062</v>
      </c>
      <c r="H70" s="47">
        <v>1.4510715131150569</v>
      </c>
      <c r="I70" s="48">
        <v>1.4872499518300604</v>
      </c>
      <c r="J70" s="48">
        <v>1.515127323994431</v>
      </c>
      <c r="K70" s="48">
        <v>1.5515772186525598</v>
      </c>
      <c r="L70" s="48">
        <v>1.5866772630045336</v>
      </c>
      <c r="M70" s="48">
        <v>1.6210773676860479</v>
      </c>
      <c r="N70" s="48">
        <v>1.6666250736375343</v>
      </c>
      <c r="P70" s="32" t="s">
        <v>33</v>
      </c>
      <c r="Q70" s="17">
        <v>2.0443067086701738E-2</v>
      </c>
      <c r="R70" s="17">
        <v>1.127044118493048E-2</v>
      </c>
      <c r="S70" s="79">
        <v>2.4932223111001628E-2</v>
      </c>
      <c r="T70" s="79">
        <v>1.8744241430344255E-2</v>
      </c>
      <c r="U70" s="79">
        <v>2.4057314577387245E-2</v>
      </c>
      <c r="V70" s="79">
        <v>2.2622170479182246E-2</v>
      </c>
      <c r="W70" s="79">
        <v>2.1680593453752728E-2</v>
      </c>
      <c r="X70" s="79">
        <v>2.8097182071267879E-2</v>
      </c>
    </row>
    <row r="71" spans="2:24" x14ac:dyDescent="0.15">
      <c r="B71" s="32" t="s">
        <v>34</v>
      </c>
      <c r="C71" s="47">
        <v>1.022351271254204</v>
      </c>
      <c r="D71" s="47">
        <v>0.37764499545818253</v>
      </c>
      <c r="E71" s="47">
        <v>0.92504638299658093</v>
      </c>
      <c r="F71" s="47">
        <v>1.0209946121459681</v>
      </c>
      <c r="G71" s="47">
        <v>1.0325936832921863</v>
      </c>
      <c r="H71" s="47">
        <v>1.0499469198277489</v>
      </c>
      <c r="I71" s="48">
        <v>1.0727820446033776</v>
      </c>
      <c r="J71" s="48">
        <v>1.0939263543588436</v>
      </c>
      <c r="K71" s="48">
        <v>1.1226557700969035</v>
      </c>
      <c r="L71" s="48">
        <v>1.1435869809322761</v>
      </c>
      <c r="M71" s="48">
        <v>1.1699907880200195</v>
      </c>
      <c r="N71" s="48">
        <v>1.2016218182298151</v>
      </c>
      <c r="P71" s="32" t="s">
        <v>34</v>
      </c>
      <c r="Q71" s="17">
        <v>1.1360560583016932E-2</v>
      </c>
      <c r="R71" s="17">
        <v>1.6805483915256936E-2</v>
      </c>
      <c r="S71" s="79">
        <v>2.1748837340629379E-2</v>
      </c>
      <c r="T71" s="79">
        <v>1.9709790876750954E-2</v>
      </c>
      <c r="U71" s="79">
        <v>2.6262659843219849E-2</v>
      </c>
      <c r="V71" s="79">
        <v>1.864437113574513E-2</v>
      </c>
      <c r="W71" s="79">
        <v>2.3088586638349673E-2</v>
      </c>
      <c r="X71" s="79">
        <v>2.7035281417322032E-2</v>
      </c>
    </row>
    <row r="72" spans="2:24" x14ac:dyDescent="0.15">
      <c r="B72" s="32" t="s">
        <v>35</v>
      </c>
      <c r="C72" s="47">
        <v>0.37294261276481894</v>
      </c>
      <c r="D72" s="47">
        <v>0.16732186159439144</v>
      </c>
      <c r="E72" s="47">
        <v>0.33418901224295344</v>
      </c>
      <c r="F72" s="47">
        <v>0.37337367411518679</v>
      </c>
      <c r="G72" s="47">
        <v>0.37651222164241349</v>
      </c>
      <c r="H72" s="47">
        <v>0.37849923310070421</v>
      </c>
      <c r="I72" s="48">
        <v>0.38358034106488481</v>
      </c>
      <c r="J72" s="48">
        <v>0.38827860203855974</v>
      </c>
      <c r="K72" s="48">
        <v>0.39934815667311907</v>
      </c>
      <c r="L72" s="48">
        <v>0.40832171347803414</v>
      </c>
      <c r="M72" s="48">
        <v>0.41628703725375871</v>
      </c>
      <c r="N72" s="48">
        <v>0.42703724612136379</v>
      </c>
      <c r="P72" s="32" t="s">
        <v>35</v>
      </c>
      <c r="Q72" s="17">
        <v>8.40591542685587E-3</v>
      </c>
      <c r="R72" s="17">
        <v>5.2774155633594777E-3</v>
      </c>
      <c r="S72" s="79">
        <v>1.3424354714157927E-2</v>
      </c>
      <c r="T72" s="79">
        <v>1.2248440471771094E-2</v>
      </c>
      <c r="U72" s="79">
        <v>2.8509308976702341E-2</v>
      </c>
      <c r="V72" s="79">
        <v>2.2470510142507782E-2</v>
      </c>
      <c r="W72" s="79">
        <v>1.9507470489082968E-2</v>
      </c>
      <c r="X72" s="79">
        <v>2.5824029829331518E-2</v>
      </c>
    </row>
    <row r="73" spans="2:24" ht="4.25" customHeight="1" x14ac:dyDescent="0.15">
      <c r="B73" s="32"/>
      <c r="C73" s="47"/>
      <c r="I73" s="8"/>
      <c r="J73" s="8"/>
      <c r="K73" s="8"/>
      <c r="L73" s="8"/>
      <c r="M73" s="8"/>
      <c r="N73" s="8"/>
      <c r="P73" s="32"/>
      <c r="Q73" s="80"/>
      <c r="R73" s="80"/>
      <c r="S73" s="81"/>
      <c r="T73" s="81"/>
      <c r="U73" s="81"/>
      <c r="V73" s="81"/>
      <c r="W73" s="81"/>
      <c r="X73" s="81"/>
    </row>
    <row r="74" spans="2:24" x14ac:dyDescent="0.15">
      <c r="B74" s="29" t="s">
        <v>36</v>
      </c>
      <c r="C74" s="45">
        <v>48.691754384412334</v>
      </c>
      <c r="D74" s="45">
        <v>20.147054582421884</v>
      </c>
      <c r="E74" s="45">
        <v>41.732643358643465</v>
      </c>
      <c r="F74" s="45">
        <v>46.76217907984234</v>
      </c>
      <c r="G74" s="45">
        <v>47.188645307293015</v>
      </c>
      <c r="H74" s="45">
        <v>48.038638775966916</v>
      </c>
      <c r="I74" s="46">
        <v>48.705384777326998</v>
      </c>
      <c r="J74" s="46">
        <v>49.394080915121108</v>
      </c>
      <c r="K74" s="46">
        <v>50.502391265210221</v>
      </c>
      <c r="L74" s="46">
        <v>51.698113744896631</v>
      </c>
      <c r="M74" s="46">
        <v>52.920443232999176</v>
      </c>
      <c r="N74" s="46">
        <v>54.46932638121794</v>
      </c>
      <c r="P74" s="29" t="s">
        <v>36</v>
      </c>
      <c r="Q74" s="44">
        <v>9.1198963744294481E-3</v>
      </c>
      <c r="R74" s="44">
        <v>1.8012669427967865E-2</v>
      </c>
      <c r="S74" s="78">
        <v>1.3879369156764021E-2</v>
      </c>
      <c r="T74" s="78">
        <v>1.4140041002503434E-2</v>
      </c>
      <c r="U74" s="78">
        <v>2.2438120713160759E-2</v>
      </c>
      <c r="V74" s="78">
        <v>2.367655173805816E-2</v>
      </c>
      <c r="W74" s="78">
        <v>2.3643599341633736E-2</v>
      </c>
      <c r="X74" s="78">
        <v>2.9268143908003807E-2</v>
      </c>
    </row>
    <row r="75" spans="2:24" x14ac:dyDescent="0.15">
      <c r="B75" s="32" t="s">
        <v>37</v>
      </c>
      <c r="C75" s="47">
        <v>3.8100110846423365</v>
      </c>
      <c r="D75" s="47">
        <v>1.0665162253030525</v>
      </c>
      <c r="E75" s="47">
        <v>3.1974433848049553</v>
      </c>
      <c r="F75" s="47">
        <v>3.5106442881460911</v>
      </c>
      <c r="G75" s="47">
        <v>3.5332841189855162</v>
      </c>
      <c r="H75" s="47">
        <v>3.5842916421232824</v>
      </c>
      <c r="I75" s="48">
        <v>3.6568108474418013</v>
      </c>
      <c r="J75" s="48">
        <v>3.7071280752194857</v>
      </c>
      <c r="K75" s="48">
        <v>3.7912021949984291</v>
      </c>
      <c r="L75" s="48">
        <v>3.8809634889243299</v>
      </c>
      <c r="M75" s="48">
        <v>3.9592550714452748</v>
      </c>
      <c r="N75" s="48">
        <v>4.0498753983167175</v>
      </c>
      <c r="P75" s="32" t="s">
        <v>37</v>
      </c>
      <c r="Q75" s="17">
        <v>6.448910507928618E-3</v>
      </c>
      <c r="R75" s="17">
        <v>1.4436292531270212E-2</v>
      </c>
      <c r="S75" s="79">
        <v>2.0232506882603918E-2</v>
      </c>
      <c r="T75" s="79">
        <v>1.3759866144808841E-2</v>
      </c>
      <c r="U75" s="79">
        <v>2.2679043743037086E-2</v>
      </c>
      <c r="V75" s="79">
        <v>2.3676208576878022E-2</v>
      </c>
      <c r="W75" s="79">
        <v>2.0173233462354556E-2</v>
      </c>
      <c r="X75" s="79">
        <v>2.2888226506296627E-2</v>
      </c>
    </row>
    <row r="76" spans="2:24" x14ac:dyDescent="0.15">
      <c r="B76" s="32" t="s">
        <v>38</v>
      </c>
      <c r="C76" s="47">
        <v>4.7594941502552022</v>
      </c>
      <c r="D76" s="47">
        <v>1.1120475567328698</v>
      </c>
      <c r="E76" s="47">
        <v>3.9102107092304594</v>
      </c>
      <c r="F76" s="47">
        <v>4.4961172875134254</v>
      </c>
      <c r="G76" s="47">
        <v>4.5098147662149755</v>
      </c>
      <c r="H76" s="47">
        <v>4.5892863642493751</v>
      </c>
      <c r="I76" s="48">
        <v>4.6450838507811643</v>
      </c>
      <c r="J76" s="48">
        <v>4.7058419999989454</v>
      </c>
      <c r="K76" s="48">
        <v>4.8331325658736812</v>
      </c>
      <c r="L76" s="48">
        <v>4.9803854186299397</v>
      </c>
      <c r="M76" s="48">
        <v>5.1006897132063349</v>
      </c>
      <c r="N76" s="48">
        <v>5.2539819711758309</v>
      </c>
      <c r="P76" s="32" t="s">
        <v>38</v>
      </c>
      <c r="Q76" s="17">
        <v>3.0465127632659517E-3</v>
      </c>
      <c r="R76" s="17">
        <v>1.7621920667286961E-2</v>
      </c>
      <c r="S76" s="79">
        <v>1.2158205460102156E-2</v>
      </c>
      <c r="T76" s="79">
        <v>1.3080097403960433E-2</v>
      </c>
      <c r="U76" s="79">
        <v>2.7049477197654381E-2</v>
      </c>
      <c r="V76" s="79">
        <v>3.0467373023450151E-2</v>
      </c>
      <c r="W76" s="79">
        <v>2.4155619387683736E-2</v>
      </c>
      <c r="X76" s="79">
        <v>3.0053241147486975E-2</v>
      </c>
    </row>
    <row r="77" spans="2:24" x14ac:dyDescent="0.15">
      <c r="B77" s="32" t="s">
        <v>39</v>
      </c>
      <c r="C77" s="47">
        <v>9.898134255391934</v>
      </c>
      <c r="D77" s="47">
        <v>5.63748143536416</v>
      </c>
      <c r="E77" s="47">
        <v>8.4577491109616787</v>
      </c>
      <c r="F77" s="47">
        <v>9.35122423387301</v>
      </c>
      <c r="G77" s="47">
        <v>9.5419361484011898</v>
      </c>
      <c r="H77" s="47">
        <v>9.6793094359688059</v>
      </c>
      <c r="I77" s="48">
        <v>9.8424285456918916</v>
      </c>
      <c r="J77" s="48">
        <v>9.9831653304530157</v>
      </c>
      <c r="K77" s="48">
        <v>10.235318650732223</v>
      </c>
      <c r="L77" s="48">
        <v>10.449103586799231</v>
      </c>
      <c r="M77" s="48">
        <v>10.690520442164569</v>
      </c>
      <c r="N77" s="48">
        <v>11.016785658361943</v>
      </c>
      <c r="P77" s="32" t="s">
        <v>39</v>
      </c>
      <c r="Q77" s="17">
        <v>2.0394325893433596E-2</v>
      </c>
      <c r="R77" s="17">
        <v>1.4396793840486311E-2</v>
      </c>
      <c r="S77" s="79">
        <v>1.6852349932829691E-2</v>
      </c>
      <c r="T77" s="79">
        <v>1.4298989736910572E-2</v>
      </c>
      <c r="U77" s="79">
        <v>2.5257852788436619E-2</v>
      </c>
      <c r="V77" s="79">
        <v>2.0886983919324642E-2</v>
      </c>
      <c r="W77" s="79">
        <v>2.3104073316904339E-2</v>
      </c>
      <c r="X77" s="79">
        <v>3.0519114383856349E-2</v>
      </c>
    </row>
    <row r="78" spans="2:24" x14ac:dyDescent="0.15">
      <c r="B78" s="32" t="s">
        <v>36</v>
      </c>
      <c r="C78" s="47">
        <v>30.224114894122863</v>
      </c>
      <c r="D78" s="47">
        <v>12.331009365021805</v>
      </c>
      <c r="E78" s="47">
        <v>26.167240153646372</v>
      </c>
      <c r="F78" s="47">
        <v>29.404193270309815</v>
      </c>
      <c r="G78" s="47">
        <v>29.603610273691338</v>
      </c>
      <c r="H78" s="47">
        <v>30.185751333625454</v>
      </c>
      <c r="I78" s="48">
        <v>30.561061533412136</v>
      </c>
      <c r="J78" s="48">
        <v>30.997945509449661</v>
      </c>
      <c r="K78" s="48">
        <v>31.642737853605887</v>
      </c>
      <c r="L78" s="48">
        <v>32.387661250543132</v>
      </c>
      <c r="M78" s="48">
        <v>33.169978006182994</v>
      </c>
      <c r="N78" s="48">
        <v>34.148683353363452</v>
      </c>
      <c r="P78" s="32" t="s">
        <v>36</v>
      </c>
      <c r="Q78" s="17">
        <v>6.7819239775872564E-3</v>
      </c>
      <c r="R78" s="17">
        <v>1.9664529243295092E-2</v>
      </c>
      <c r="S78" s="79">
        <v>1.2433356242771643E-2</v>
      </c>
      <c r="T78" s="79">
        <v>1.4295445057099343E-2</v>
      </c>
      <c r="U78" s="79">
        <v>2.080113160917918E-2</v>
      </c>
      <c r="V78" s="79">
        <v>2.3541685943347046E-2</v>
      </c>
      <c r="W78" s="79">
        <v>2.4154777635472024E-2</v>
      </c>
      <c r="X78" s="79">
        <v>2.9505758098423263E-2</v>
      </c>
    </row>
    <row r="79" spans="2:24" ht="4.25" customHeight="1" x14ac:dyDescent="0.15">
      <c r="B79" s="49"/>
      <c r="C79" s="36"/>
      <c r="D79" s="36"/>
      <c r="E79" s="36"/>
      <c r="F79" s="36"/>
      <c r="G79" s="36"/>
      <c r="H79" s="36"/>
      <c r="I79" s="37"/>
      <c r="J79" s="37"/>
      <c r="K79" s="37"/>
      <c r="L79" s="37"/>
      <c r="M79" s="37"/>
      <c r="N79" s="37"/>
      <c r="P79" s="49"/>
      <c r="Q79" s="36"/>
      <c r="R79" s="36"/>
      <c r="S79" s="37"/>
      <c r="T79" s="37"/>
      <c r="U79" s="37"/>
      <c r="V79" s="37"/>
      <c r="W79" s="37"/>
      <c r="X79" s="37"/>
    </row>
    <row r="80" spans="2:24" x14ac:dyDescent="0.15">
      <c r="B80" s="38" t="s">
        <v>59</v>
      </c>
      <c r="P80" s="38"/>
    </row>
    <row r="81" spans="2:24" x14ac:dyDescent="0.15">
      <c r="I81" s="2" t="s">
        <v>21</v>
      </c>
    </row>
    <row r="82" spans="2:24" x14ac:dyDescent="0.15">
      <c r="B82" s="40"/>
    </row>
    <row r="83" spans="2:24" ht="16" x14ac:dyDescent="0.2">
      <c r="B83" s="1" t="s">
        <v>40</v>
      </c>
      <c r="C83" s="76"/>
      <c r="D83" s="76"/>
      <c r="E83" s="76"/>
      <c r="F83" s="76"/>
      <c r="G83" s="76"/>
      <c r="H83" s="76"/>
      <c r="I83" s="76"/>
      <c r="J83" s="1"/>
      <c r="K83" s="1"/>
      <c r="L83" s="1"/>
      <c r="M83" s="1"/>
      <c r="N83" s="1"/>
      <c r="P83" s="4" t="s">
        <v>67</v>
      </c>
      <c r="Q83" s="4"/>
      <c r="R83" s="4"/>
      <c r="S83" s="4"/>
      <c r="T83" s="1"/>
      <c r="U83" s="1"/>
      <c r="V83" s="1"/>
      <c r="W83" s="1"/>
      <c r="X83" s="1"/>
    </row>
    <row r="84" spans="2:24" ht="16" x14ac:dyDescent="0.2">
      <c r="C84" s="4"/>
      <c r="D84" s="4"/>
      <c r="E84" s="3"/>
      <c r="H84" s="75"/>
      <c r="I84" s="3" t="s">
        <v>69</v>
      </c>
      <c r="J84" s="3" t="s">
        <v>2</v>
      </c>
      <c r="R84" s="75"/>
      <c r="S84" s="3" t="s">
        <v>69</v>
      </c>
      <c r="T84" s="3" t="s">
        <v>2</v>
      </c>
    </row>
    <row r="85" spans="2:24" ht="4.25" customHeight="1" x14ac:dyDescent="0.15">
      <c r="B85" s="40"/>
      <c r="P85" s="40"/>
    </row>
    <row r="86" spans="2:24" x14ac:dyDescent="0.15">
      <c r="C86" s="5">
        <v>2019</v>
      </c>
      <c r="D86" s="5">
        <v>2020</v>
      </c>
      <c r="E86" s="5">
        <v>2021</v>
      </c>
      <c r="F86" s="5">
        <v>2022</v>
      </c>
      <c r="G86" s="5">
        <v>2023</v>
      </c>
      <c r="H86" s="5">
        <v>2024</v>
      </c>
      <c r="I86" s="6">
        <v>2025</v>
      </c>
      <c r="J86" s="6">
        <v>2026</v>
      </c>
      <c r="K86" s="6">
        <v>2027</v>
      </c>
      <c r="L86" s="6">
        <v>2028</v>
      </c>
      <c r="M86" s="6">
        <v>2029</v>
      </c>
      <c r="N86" s="6">
        <v>2030</v>
      </c>
      <c r="Q86" s="5">
        <v>2023</v>
      </c>
      <c r="R86" s="5">
        <v>2024</v>
      </c>
      <c r="S86" s="6">
        <v>2025</v>
      </c>
      <c r="T86" s="6">
        <v>2026</v>
      </c>
      <c r="U86" s="6">
        <v>2027</v>
      </c>
      <c r="V86" s="6">
        <v>2028</v>
      </c>
      <c r="W86" s="6">
        <v>2029</v>
      </c>
      <c r="X86" s="6">
        <v>2030</v>
      </c>
    </row>
    <row r="87" spans="2:24" ht="4.25" customHeight="1" x14ac:dyDescent="0.15">
      <c r="I87" s="8"/>
      <c r="J87" s="8"/>
      <c r="K87" s="8"/>
      <c r="L87" s="8"/>
      <c r="M87" s="8"/>
      <c r="N87" s="8"/>
      <c r="S87" s="8"/>
      <c r="T87" s="8"/>
      <c r="U87" s="8"/>
      <c r="V87" s="8"/>
      <c r="W87" s="8"/>
      <c r="X87" s="8"/>
    </row>
    <row r="88" spans="2:24" x14ac:dyDescent="0.15">
      <c r="B88" s="40" t="s">
        <v>23</v>
      </c>
      <c r="C88" s="50">
        <v>25.293731054585447</v>
      </c>
      <c r="D88" s="50">
        <v>16.041014067841679</v>
      </c>
      <c r="E88" s="50">
        <v>23.850627218422044</v>
      </c>
      <c r="F88" s="50">
        <v>28.164779280537015</v>
      </c>
      <c r="G88" s="50">
        <v>28.696958589331665</v>
      </c>
      <c r="H88" s="50">
        <v>28.906196303693328</v>
      </c>
      <c r="I88" s="51">
        <v>29.489941947696295</v>
      </c>
      <c r="J88" s="51">
        <v>30.819347648925568</v>
      </c>
      <c r="K88" s="51">
        <v>31.484606166633384</v>
      </c>
      <c r="L88" s="51">
        <v>32.651218698026398</v>
      </c>
      <c r="M88" s="51">
        <v>34.025073151775942</v>
      </c>
      <c r="N88" s="51">
        <v>35.506897435921218</v>
      </c>
      <c r="P88" s="40" t="s">
        <v>23</v>
      </c>
      <c r="Q88" s="17">
        <v>3.143156758331167E-2</v>
      </c>
      <c r="R88" s="17">
        <v>7.2912853712465697E-3</v>
      </c>
      <c r="S88" s="79">
        <v>2.0194481413951415E-2</v>
      </c>
      <c r="T88" s="79">
        <v>4.5079970099199285E-2</v>
      </c>
      <c r="U88" s="79">
        <v>2.1585742997743518E-2</v>
      </c>
      <c r="V88" s="79">
        <v>3.7053426211484997E-2</v>
      </c>
      <c r="W88" s="79">
        <v>4.2076666921856409E-2</v>
      </c>
      <c r="X88" s="79">
        <v>4.3550950721995108E-2</v>
      </c>
    </row>
    <row r="89" spans="2:24" x14ac:dyDescent="0.15">
      <c r="B89" s="40" t="s">
        <v>24</v>
      </c>
      <c r="C89" s="50">
        <v>29.348696885204401</v>
      </c>
      <c r="D89" s="50">
        <v>16.572229602256233</v>
      </c>
      <c r="E89" s="50">
        <v>26.791459293052842</v>
      </c>
      <c r="F89" s="50">
        <v>32.17569325790231</v>
      </c>
      <c r="G89" s="50">
        <v>32.783659612881415</v>
      </c>
      <c r="H89" s="50">
        <v>33.188637819731397</v>
      </c>
      <c r="I89" s="51">
        <v>34.063039210538349</v>
      </c>
      <c r="J89" s="51">
        <v>35.527188565335095</v>
      </c>
      <c r="K89" s="51">
        <v>36.476451585064112</v>
      </c>
      <c r="L89" s="51">
        <v>37.638888946866437</v>
      </c>
      <c r="M89" s="51">
        <v>39.222607940392479</v>
      </c>
      <c r="N89" s="51">
        <v>40.930789805992653</v>
      </c>
      <c r="P89" s="40" t="s">
        <v>24</v>
      </c>
      <c r="Q89" s="17">
        <v>3.1431567583311448E-2</v>
      </c>
      <c r="R89" s="17">
        <v>1.2353050624368311E-2</v>
      </c>
      <c r="S89" s="79">
        <v>2.6346407935040395E-2</v>
      </c>
      <c r="T89" s="79">
        <v>4.2983520811136877E-2</v>
      </c>
      <c r="U89" s="79">
        <v>2.6719339696224642E-2</v>
      </c>
      <c r="V89" s="79">
        <v>3.1868159080427283E-2</v>
      </c>
      <c r="W89" s="79">
        <v>4.2076666921856409E-2</v>
      </c>
      <c r="X89" s="79">
        <v>4.355095072199533E-2</v>
      </c>
    </row>
    <row r="90" spans="2:24" x14ac:dyDescent="0.15">
      <c r="B90" s="40" t="s">
        <v>31</v>
      </c>
      <c r="C90" s="50">
        <v>4.6480228548960838</v>
      </c>
      <c r="D90" s="50">
        <v>2.6824345205149709</v>
      </c>
      <c r="E90" s="50">
        <v>4.274293430999367</v>
      </c>
      <c r="F90" s="50">
        <v>5.0283557486796644</v>
      </c>
      <c r="G90" s="50">
        <v>5.1426428748809112</v>
      </c>
      <c r="H90" s="50">
        <v>5.2061702026573622</v>
      </c>
      <c r="I90" s="51">
        <v>5.3540100787768354</v>
      </c>
      <c r="J90" s="51">
        <v>5.5841442824209757</v>
      </c>
      <c r="K90" s="51">
        <v>5.7333489304157119</v>
      </c>
      <c r="L90" s="51">
        <v>5.9517349411055189</v>
      </c>
      <c r="M90" s="51">
        <v>6.2083662739394203</v>
      </c>
      <c r="N90" s="51">
        <v>6.4852252741274521</v>
      </c>
      <c r="P90" s="40" t="s">
        <v>31</v>
      </c>
      <c r="Q90" s="17">
        <v>3.5312054579247132E-2</v>
      </c>
      <c r="R90" s="17">
        <v>1.2353050624368311E-2</v>
      </c>
      <c r="S90" s="79">
        <v>2.8397050108736721E-2</v>
      </c>
      <c r="T90" s="79">
        <v>4.2983520811136877E-2</v>
      </c>
      <c r="U90" s="79">
        <v>2.6719339696224642E-2</v>
      </c>
      <c r="V90" s="79">
        <v>3.8090479637696184E-2</v>
      </c>
      <c r="W90" s="79">
        <v>4.3118743588778319E-2</v>
      </c>
      <c r="X90" s="79">
        <v>4.4594501672717168E-2</v>
      </c>
    </row>
    <row r="91" spans="2:24" x14ac:dyDescent="0.15">
      <c r="B91" s="40" t="s">
        <v>36</v>
      </c>
      <c r="C91" s="50">
        <v>57.423384873314077</v>
      </c>
      <c r="D91" s="50">
        <v>27.659899994211877</v>
      </c>
      <c r="E91" s="50">
        <v>44.937841870095973</v>
      </c>
      <c r="F91" s="50">
        <v>59.551193314105916</v>
      </c>
      <c r="G91" s="50">
        <v>61.942810794928789</v>
      </c>
      <c r="H91" s="50">
        <v>62.853250740351953</v>
      </c>
      <c r="I91" s="51">
        <v>64.542911025621521</v>
      </c>
      <c r="J91" s="51">
        <v>67.95479579857772</v>
      </c>
      <c r="K91" s="51">
        <v>69.928717172847357</v>
      </c>
      <c r="L91" s="51">
        <v>72.703010090984947</v>
      </c>
      <c r="M91" s="51">
        <v>75.755908266689858</v>
      </c>
      <c r="N91" s="51">
        <v>79.04867134798485</v>
      </c>
      <c r="P91" s="40" t="s">
        <v>36</v>
      </c>
      <c r="Q91" s="17">
        <v>5.2958707341447697E-2</v>
      </c>
      <c r="R91" s="17">
        <v>1.4698072847183496E-2</v>
      </c>
      <c r="S91" s="79">
        <v>2.6882623656962368E-2</v>
      </c>
      <c r="T91" s="79">
        <v>5.2862269747978807E-2</v>
      </c>
      <c r="U91" s="79">
        <v>2.9047565386267404E-2</v>
      </c>
      <c r="V91" s="79">
        <v>3.9673156183892111E-2</v>
      </c>
      <c r="W91" s="79">
        <v>4.1991358705565585E-2</v>
      </c>
      <c r="X91" s="79">
        <v>4.3465429385430854E-2</v>
      </c>
    </row>
    <row r="92" spans="2:24" ht="4.25" customHeight="1" x14ac:dyDescent="0.15">
      <c r="B92" s="36"/>
      <c r="C92" s="36"/>
      <c r="D92" s="36"/>
      <c r="E92" s="36"/>
      <c r="F92" s="36"/>
      <c r="G92" s="36"/>
      <c r="H92" s="36"/>
      <c r="I92" s="37"/>
      <c r="J92" s="37"/>
      <c r="K92" s="37"/>
      <c r="L92" s="37"/>
      <c r="M92" s="37"/>
      <c r="N92" s="37"/>
      <c r="P92" s="36"/>
      <c r="Q92" s="36"/>
      <c r="R92" s="36"/>
      <c r="S92" s="37"/>
      <c r="T92" s="37"/>
      <c r="U92" s="37"/>
      <c r="V92" s="37"/>
      <c r="W92" s="37"/>
      <c r="X92" s="37"/>
    </row>
    <row r="93" spans="2:24" x14ac:dyDescent="0.15">
      <c r="B93" s="38" t="s">
        <v>60</v>
      </c>
    </row>
    <row r="95" spans="2:24" x14ac:dyDescent="0.15">
      <c r="C95" s="17"/>
    </row>
    <row r="96" spans="2:24" ht="16" x14ac:dyDescent="0.2">
      <c r="B96" s="1" t="s">
        <v>41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P96" s="120" t="s">
        <v>66</v>
      </c>
      <c r="Q96" s="120"/>
      <c r="R96" s="120"/>
      <c r="S96" s="120"/>
      <c r="T96" s="120"/>
      <c r="U96" s="120"/>
      <c r="V96" s="120"/>
      <c r="W96" s="120"/>
    </row>
    <row r="97" spans="2:24" x14ac:dyDescent="0.15">
      <c r="E97" s="3"/>
      <c r="H97" s="75"/>
      <c r="I97" s="3" t="s">
        <v>69</v>
      </c>
      <c r="J97" s="3" t="s">
        <v>2</v>
      </c>
      <c r="R97" s="75"/>
      <c r="S97" s="3" t="s">
        <v>69</v>
      </c>
      <c r="T97" s="3" t="s">
        <v>2</v>
      </c>
    </row>
    <row r="98" spans="2:24" ht="4.25" customHeight="1" x14ac:dyDescent="0.2">
      <c r="B98" s="4"/>
      <c r="P98" s="4"/>
    </row>
    <row r="99" spans="2:24" x14ac:dyDescent="0.15">
      <c r="C99" s="5">
        <v>2019</v>
      </c>
      <c r="D99" s="5">
        <v>2020</v>
      </c>
      <c r="E99" s="5">
        <v>2021</v>
      </c>
      <c r="F99" s="5">
        <v>2022</v>
      </c>
      <c r="G99" s="5">
        <v>2023</v>
      </c>
      <c r="H99" s="5">
        <v>2024</v>
      </c>
      <c r="I99" s="6">
        <v>2025</v>
      </c>
      <c r="J99" s="6">
        <v>2026</v>
      </c>
      <c r="K99" s="6">
        <v>2027</v>
      </c>
      <c r="L99" s="6">
        <v>2028</v>
      </c>
      <c r="M99" s="6">
        <v>2029</v>
      </c>
      <c r="N99" s="6">
        <v>2030</v>
      </c>
      <c r="Q99" s="5">
        <v>2023</v>
      </c>
      <c r="R99" s="5">
        <v>2024</v>
      </c>
      <c r="S99" s="6">
        <v>2025</v>
      </c>
      <c r="T99" s="6">
        <v>2026</v>
      </c>
      <c r="U99" s="6">
        <v>2027</v>
      </c>
      <c r="V99" s="6">
        <v>2028</v>
      </c>
      <c r="W99" s="6">
        <v>2029</v>
      </c>
      <c r="X99" s="6">
        <v>2030</v>
      </c>
    </row>
    <row r="100" spans="2:24" ht="4.25" customHeight="1" x14ac:dyDescent="0.15">
      <c r="I100" s="8"/>
      <c r="J100" s="8"/>
      <c r="K100" s="8"/>
      <c r="L100" s="8"/>
      <c r="M100" s="8"/>
      <c r="N100" s="8"/>
      <c r="S100" s="8"/>
      <c r="T100" s="8"/>
      <c r="U100" s="8"/>
      <c r="V100" s="8"/>
      <c r="W100" s="8"/>
      <c r="X100" s="8"/>
    </row>
    <row r="101" spans="2:24" x14ac:dyDescent="0.15">
      <c r="B101" s="7" t="s">
        <v>7</v>
      </c>
      <c r="C101" s="12">
        <v>17457.188900000001</v>
      </c>
      <c r="D101" s="12">
        <v>3743.6084000000001</v>
      </c>
      <c r="E101" s="12">
        <v>5141.1541298619995</v>
      </c>
      <c r="F101" s="12">
        <v>11756.367265143301</v>
      </c>
      <c r="G101" s="12">
        <v>14994.439804854755</v>
      </c>
      <c r="H101" s="12">
        <v>16516.406333414267</v>
      </c>
      <c r="I101" s="52">
        <v>16407.088882773925</v>
      </c>
      <c r="J101" s="52">
        <v>16804.191834137695</v>
      </c>
      <c r="K101" s="52">
        <v>17456.357670208839</v>
      </c>
      <c r="L101" s="52">
        <v>18186.821386785443</v>
      </c>
      <c r="M101" s="52">
        <v>18917.027920149518</v>
      </c>
      <c r="N101" s="52">
        <v>19651.401010210706</v>
      </c>
      <c r="P101" s="7" t="s">
        <v>7</v>
      </c>
      <c r="Q101" s="44">
        <v>0.27543138681215606</v>
      </c>
      <c r="R101" s="44">
        <v>0.10150205998804585</v>
      </c>
      <c r="S101" s="78">
        <v>-6.6187188928127361E-3</v>
      </c>
      <c r="T101" s="78">
        <v>2.4203132816614126E-2</v>
      </c>
      <c r="U101" s="78">
        <v>3.8809711440348504E-2</v>
      </c>
      <c r="V101" s="78">
        <v>4.1845139196661885E-2</v>
      </c>
      <c r="W101" s="78">
        <v>4.0150310922096866E-2</v>
      </c>
      <c r="X101" s="78">
        <v>3.8820743573517058E-2</v>
      </c>
    </row>
    <row r="102" spans="2:24" ht="4.25" customHeight="1" x14ac:dyDescent="0.15">
      <c r="C102" s="18"/>
      <c r="D102" s="18"/>
      <c r="E102" s="18"/>
      <c r="F102" s="18"/>
      <c r="G102" s="18"/>
      <c r="H102" s="18"/>
      <c r="I102" s="19"/>
      <c r="J102" s="19"/>
      <c r="K102" s="19"/>
      <c r="L102" s="19"/>
      <c r="M102" s="19"/>
      <c r="N102" s="19"/>
      <c r="Q102" s="17"/>
      <c r="R102" s="17"/>
      <c r="S102" s="79"/>
      <c r="T102" s="79"/>
      <c r="U102" s="79"/>
      <c r="V102" s="79"/>
      <c r="W102" s="79"/>
      <c r="X102" s="79"/>
    </row>
    <row r="103" spans="2:24" x14ac:dyDescent="0.15">
      <c r="B103" s="20" t="s">
        <v>42</v>
      </c>
      <c r="C103" s="18">
        <v>1032</v>
      </c>
      <c r="D103" s="18">
        <v>147</v>
      </c>
      <c r="E103" s="18">
        <v>71</v>
      </c>
      <c r="F103" s="18">
        <v>154</v>
      </c>
      <c r="G103" s="18">
        <v>492</v>
      </c>
      <c r="H103" s="18">
        <v>647</v>
      </c>
      <c r="I103" s="19">
        <v>599</v>
      </c>
      <c r="J103" s="19">
        <v>622.28741599784962</v>
      </c>
      <c r="K103" s="19">
        <v>695.04319903613555</v>
      </c>
      <c r="L103" s="19">
        <v>769.4694723359321</v>
      </c>
      <c r="M103" s="19">
        <v>848.15492953469561</v>
      </c>
      <c r="N103" s="19">
        <v>939.46616611241927</v>
      </c>
      <c r="P103" s="20" t="s">
        <v>42</v>
      </c>
      <c r="Q103" s="16">
        <v>2.1948051948051948</v>
      </c>
      <c r="R103" s="17">
        <v>0.31504065040650397</v>
      </c>
      <c r="S103" s="79">
        <v>-7.4188562596599672E-2</v>
      </c>
      <c r="T103" s="79">
        <v>3.8877155255174767E-2</v>
      </c>
      <c r="U103" s="79">
        <v>0.11691668699682878</v>
      </c>
      <c r="V103" s="79">
        <v>0.10708150716819986</v>
      </c>
      <c r="W103" s="79">
        <v>0.10225936184302742</v>
      </c>
      <c r="X103" s="79">
        <v>0.10765867578912469</v>
      </c>
    </row>
    <row r="104" spans="2:24" x14ac:dyDescent="0.15">
      <c r="B104" s="20" t="s">
        <v>43</v>
      </c>
      <c r="C104" s="18">
        <v>420</v>
      </c>
      <c r="D104" s="18">
        <v>90</v>
      </c>
      <c r="E104" s="18">
        <v>83</v>
      </c>
      <c r="F104" s="18">
        <v>323</v>
      </c>
      <c r="G104" s="18">
        <v>480</v>
      </c>
      <c r="H104" s="18">
        <v>602</v>
      </c>
      <c r="I104" s="19">
        <v>666</v>
      </c>
      <c r="J104" s="19">
        <v>642.5916058872341</v>
      </c>
      <c r="K104" s="19">
        <v>665.34554745163109</v>
      </c>
      <c r="L104" s="19">
        <v>692.35611302790755</v>
      </c>
      <c r="M104" s="19">
        <v>718.91672647945143</v>
      </c>
      <c r="N104" s="19">
        <v>744.56957631724674</v>
      </c>
      <c r="P104" s="20" t="s">
        <v>43</v>
      </c>
      <c r="Q104" s="16">
        <v>0.48606811145510842</v>
      </c>
      <c r="R104" s="17">
        <v>0.25416666666666665</v>
      </c>
      <c r="S104" s="79">
        <v>0.10631229235880402</v>
      </c>
      <c r="T104" s="79">
        <v>-3.5147738908056891E-2</v>
      </c>
      <c r="U104" s="79">
        <v>3.5409646431624919E-2</v>
      </c>
      <c r="V104" s="79">
        <v>4.0596297186823893E-2</v>
      </c>
      <c r="W104" s="79">
        <v>3.8362647417649498E-2</v>
      </c>
      <c r="X104" s="79">
        <v>3.5682644307662548E-2</v>
      </c>
    </row>
    <row r="105" spans="2:24" x14ac:dyDescent="0.15">
      <c r="B105" s="20" t="s">
        <v>44</v>
      </c>
      <c r="C105" s="18">
        <v>559</v>
      </c>
      <c r="D105" s="18">
        <v>104</v>
      </c>
      <c r="E105" s="18">
        <v>30</v>
      </c>
      <c r="F105" s="18">
        <v>129</v>
      </c>
      <c r="G105" s="18">
        <v>344</v>
      </c>
      <c r="H105" s="18">
        <v>377</v>
      </c>
      <c r="I105" s="19">
        <v>410</v>
      </c>
      <c r="J105" s="19">
        <v>418.97718268693131</v>
      </c>
      <c r="K105" s="19">
        <v>442.82346490875818</v>
      </c>
      <c r="L105" s="19">
        <v>479.77669446703595</v>
      </c>
      <c r="M105" s="19">
        <v>515.38739754440087</v>
      </c>
      <c r="N105" s="19">
        <v>560.10720790795142</v>
      </c>
      <c r="P105" s="20" t="s">
        <v>44</v>
      </c>
      <c r="Q105" s="16">
        <v>1.6666666666666665</v>
      </c>
      <c r="R105" s="17">
        <v>9.5930232558139483E-2</v>
      </c>
      <c r="S105" s="79">
        <v>8.7533156498673659E-2</v>
      </c>
      <c r="T105" s="79">
        <v>2.1895567529100823E-2</v>
      </c>
      <c r="U105" s="79">
        <v>5.6915467493716232E-2</v>
      </c>
      <c r="V105" s="79">
        <v>8.3449122475684145E-2</v>
      </c>
      <c r="W105" s="79">
        <v>7.4223494988482797E-2</v>
      </c>
      <c r="X105" s="79">
        <v>8.6769312902529538E-2</v>
      </c>
    </row>
    <row r="106" spans="2:24" x14ac:dyDescent="0.15">
      <c r="B106" s="20" t="s">
        <v>45</v>
      </c>
      <c r="C106" s="18">
        <v>485</v>
      </c>
      <c r="D106" s="18">
        <v>94</v>
      </c>
      <c r="E106" s="18">
        <v>55</v>
      </c>
      <c r="F106" s="18">
        <v>219</v>
      </c>
      <c r="G106" s="18">
        <v>392</v>
      </c>
      <c r="H106" s="18">
        <v>435</v>
      </c>
      <c r="I106" s="19">
        <v>368</v>
      </c>
      <c r="J106" s="19">
        <v>382.45981908034526</v>
      </c>
      <c r="K106" s="19">
        <v>422.84451529317465</v>
      </c>
      <c r="L106" s="19">
        <v>461.30699358247614</v>
      </c>
      <c r="M106" s="19">
        <v>501.430616501087</v>
      </c>
      <c r="N106" s="19">
        <v>542.06566290013814</v>
      </c>
      <c r="P106" s="20" t="s">
        <v>45</v>
      </c>
      <c r="Q106" s="16">
        <v>0.78995433789954328</v>
      </c>
      <c r="R106" s="17">
        <v>0.10969387755102034</v>
      </c>
      <c r="S106" s="79">
        <v>-0.15402298850574714</v>
      </c>
      <c r="T106" s="79">
        <v>3.9292986631372928E-2</v>
      </c>
      <c r="U106" s="79">
        <v>0.10559199737618874</v>
      </c>
      <c r="V106" s="79">
        <v>9.096127985161151E-2</v>
      </c>
      <c r="W106" s="79">
        <v>8.6978137068796091E-2</v>
      </c>
      <c r="X106" s="79">
        <v>8.1038223558419276E-2</v>
      </c>
    </row>
    <row r="107" spans="2:24" x14ac:dyDescent="0.15">
      <c r="B107" s="20" t="s">
        <v>46</v>
      </c>
      <c r="C107" s="18">
        <v>598</v>
      </c>
      <c r="D107" s="18">
        <v>86</v>
      </c>
      <c r="E107" s="18">
        <v>21</v>
      </c>
      <c r="F107" s="18">
        <v>253</v>
      </c>
      <c r="G107" s="18">
        <v>411</v>
      </c>
      <c r="H107" s="18">
        <v>432</v>
      </c>
      <c r="I107" s="19">
        <v>410</v>
      </c>
      <c r="J107" s="19">
        <v>416.76380024411367</v>
      </c>
      <c r="K107" s="19">
        <v>435.90349306779899</v>
      </c>
      <c r="L107" s="19">
        <v>462.22539041488881</v>
      </c>
      <c r="M107" s="19">
        <v>499.90432262119617</v>
      </c>
      <c r="N107" s="19">
        <v>537.86696897201045</v>
      </c>
      <c r="P107" s="20" t="s">
        <v>46</v>
      </c>
      <c r="Q107" s="16">
        <v>0.62450592885375489</v>
      </c>
      <c r="R107" s="17">
        <v>5.1094890510948954E-2</v>
      </c>
      <c r="S107" s="79">
        <v>-5.092592592592593E-2</v>
      </c>
      <c r="T107" s="79">
        <v>1.6497073766130965E-2</v>
      </c>
      <c r="U107" s="79">
        <v>4.5924556817253492E-2</v>
      </c>
      <c r="V107" s="79">
        <v>6.0384690110743877E-2</v>
      </c>
      <c r="W107" s="79">
        <v>8.1516361904063972E-2</v>
      </c>
      <c r="X107" s="79">
        <v>7.5939824148271162E-2</v>
      </c>
    </row>
    <row r="108" spans="2:24" x14ac:dyDescent="0.15">
      <c r="B108" s="20" t="s">
        <v>47</v>
      </c>
      <c r="C108" s="18">
        <v>753</v>
      </c>
      <c r="D108" s="18">
        <v>121</v>
      </c>
      <c r="E108" s="18">
        <v>85</v>
      </c>
      <c r="F108" s="18">
        <v>588</v>
      </c>
      <c r="G108" s="18">
        <v>629</v>
      </c>
      <c r="H108" s="18">
        <v>630</v>
      </c>
      <c r="I108" s="19">
        <v>599</v>
      </c>
      <c r="J108" s="19">
        <v>612.5898571506018</v>
      </c>
      <c r="K108" s="19">
        <v>641.0815960994255</v>
      </c>
      <c r="L108" s="19">
        <v>674.24862419607246</v>
      </c>
      <c r="M108" s="19">
        <v>714.89425547755638</v>
      </c>
      <c r="N108" s="19">
        <v>752.70120800405971</v>
      </c>
      <c r="P108" s="20" t="s">
        <v>47</v>
      </c>
      <c r="Q108" s="16">
        <v>6.9727891156462496E-2</v>
      </c>
      <c r="R108" s="17">
        <v>1.5898251192367763E-3</v>
      </c>
      <c r="S108" s="79">
        <v>-4.9206349206349254E-2</v>
      </c>
      <c r="T108" s="79">
        <v>2.2687574541906175E-2</v>
      </c>
      <c r="U108" s="79">
        <v>4.65103014949515E-2</v>
      </c>
      <c r="V108" s="79">
        <v>5.17360477955493E-2</v>
      </c>
      <c r="W108" s="79">
        <v>6.0282853865585517E-2</v>
      </c>
      <c r="X108" s="79">
        <v>5.2884678030106658E-2</v>
      </c>
    </row>
    <row r="109" spans="2:24" x14ac:dyDescent="0.15">
      <c r="B109" s="20" t="s">
        <v>48</v>
      </c>
      <c r="C109" s="18">
        <v>449</v>
      </c>
      <c r="D109" s="18">
        <v>59</v>
      </c>
      <c r="E109" s="18">
        <v>41</v>
      </c>
      <c r="F109" s="18">
        <v>351</v>
      </c>
      <c r="G109" s="18">
        <v>421</v>
      </c>
      <c r="H109" s="18">
        <v>426</v>
      </c>
      <c r="I109" s="19">
        <v>384</v>
      </c>
      <c r="J109" s="19">
        <v>389.38833496223396</v>
      </c>
      <c r="K109" s="19">
        <v>407.14366748281185</v>
      </c>
      <c r="L109" s="19">
        <v>424.48099186604225</v>
      </c>
      <c r="M109" s="19">
        <v>446.14841666563103</v>
      </c>
      <c r="N109" s="19">
        <v>469.20773500403936</v>
      </c>
      <c r="P109" s="20" t="s">
        <v>48</v>
      </c>
      <c r="Q109" s="16">
        <v>0.19943019943019946</v>
      </c>
      <c r="R109" s="17">
        <v>1.1876484560570111E-2</v>
      </c>
      <c r="S109" s="79">
        <v>-9.8591549295774628E-2</v>
      </c>
      <c r="T109" s="79">
        <v>1.4032122297484184E-2</v>
      </c>
      <c r="U109" s="79">
        <v>4.5598008277006885E-2</v>
      </c>
      <c r="V109" s="79">
        <v>4.2582817240949256E-2</v>
      </c>
      <c r="W109" s="79">
        <v>5.104451133215071E-2</v>
      </c>
      <c r="X109" s="79">
        <v>5.1685308020918752E-2</v>
      </c>
    </row>
    <row r="110" spans="2:24" x14ac:dyDescent="0.15">
      <c r="B110" s="20" t="s">
        <v>49</v>
      </c>
      <c r="C110" s="18">
        <v>458</v>
      </c>
      <c r="D110" s="18">
        <v>63</v>
      </c>
      <c r="E110" s="18">
        <v>50</v>
      </c>
      <c r="F110" s="18">
        <v>356</v>
      </c>
      <c r="G110" s="18">
        <v>412</v>
      </c>
      <c r="H110" s="18">
        <v>412</v>
      </c>
      <c r="I110" s="19">
        <v>404</v>
      </c>
      <c r="J110" s="19">
        <v>415.08354410950625</v>
      </c>
      <c r="K110" s="19">
        <v>438.14975419203859</v>
      </c>
      <c r="L110" s="19">
        <v>460.82303140128829</v>
      </c>
      <c r="M110" s="19">
        <v>488.27779911177089</v>
      </c>
      <c r="N110" s="19">
        <v>515.98240846283647</v>
      </c>
      <c r="P110" s="20" t="s">
        <v>49</v>
      </c>
      <c r="Q110" s="16">
        <v>0.15730337078651679</v>
      </c>
      <c r="R110" s="17">
        <v>0</v>
      </c>
      <c r="S110" s="79">
        <v>-1.9417475728155331E-2</v>
      </c>
      <c r="T110" s="79">
        <v>2.7434515122540137E-2</v>
      </c>
      <c r="U110" s="79">
        <v>5.5570042247801155E-2</v>
      </c>
      <c r="V110" s="79">
        <v>5.1747780279050692E-2</v>
      </c>
      <c r="W110" s="79">
        <v>5.9577681321606457E-2</v>
      </c>
      <c r="X110" s="79">
        <v>5.6739440952390696E-2</v>
      </c>
    </row>
    <row r="111" spans="2:24" x14ac:dyDescent="0.15">
      <c r="B111" s="20" t="s">
        <v>50</v>
      </c>
      <c r="C111" s="18">
        <v>204</v>
      </c>
      <c r="D111" s="18">
        <v>20</v>
      </c>
      <c r="E111" s="18">
        <v>21</v>
      </c>
      <c r="F111" s="18">
        <v>148</v>
      </c>
      <c r="G111" s="18">
        <v>175</v>
      </c>
      <c r="H111" s="18">
        <v>178</v>
      </c>
      <c r="I111" s="19">
        <v>187</v>
      </c>
      <c r="J111" s="19">
        <v>192.51571587988636</v>
      </c>
      <c r="K111" s="19">
        <v>199.64467668740699</v>
      </c>
      <c r="L111" s="19">
        <v>206.42082713952385</v>
      </c>
      <c r="M111" s="19">
        <v>213.45012631854451</v>
      </c>
      <c r="N111" s="19">
        <v>221.71637382876665</v>
      </c>
      <c r="P111" s="20" t="s">
        <v>50</v>
      </c>
      <c r="Q111" s="16">
        <v>0.18243243243243246</v>
      </c>
      <c r="R111" s="17">
        <v>1.7142857142857126E-2</v>
      </c>
      <c r="S111" s="79">
        <v>5.0561797752809001E-2</v>
      </c>
      <c r="T111" s="79">
        <v>2.9495806844312078E-2</v>
      </c>
      <c r="U111" s="79">
        <v>3.7030539428627662E-2</v>
      </c>
      <c r="V111" s="79">
        <v>3.3941052496614388E-2</v>
      </c>
      <c r="W111" s="79">
        <v>3.4053245868787441E-2</v>
      </c>
      <c r="X111" s="79">
        <v>3.8726833536214089E-2</v>
      </c>
    </row>
    <row r="112" spans="2:24" x14ac:dyDescent="0.15">
      <c r="B112" s="20" t="s">
        <v>51</v>
      </c>
      <c r="C112" s="18">
        <v>243</v>
      </c>
      <c r="D112" s="18">
        <v>46</v>
      </c>
      <c r="E112" s="18">
        <v>22</v>
      </c>
      <c r="F112" s="18">
        <v>181</v>
      </c>
      <c r="G112" s="18">
        <v>139</v>
      </c>
      <c r="H112" s="18">
        <v>188</v>
      </c>
      <c r="I112" s="19">
        <v>150</v>
      </c>
      <c r="J112" s="19">
        <v>154.70626908868451</v>
      </c>
      <c r="K112" s="19">
        <v>171.32037446952469</v>
      </c>
      <c r="L112" s="19">
        <v>185.4788796333799</v>
      </c>
      <c r="M112" s="19">
        <v>201.87382022597271</v>
      </c>
      <c r="N112" s="19">
        <v>220.22562881087393</v>
      </c>
      <c r="P112" s="20" t="s">
        <v>51</v>
      </c>
      <c r="Q112" s="16">
        <v>-0.23204419889502759</v>
      </c>
      <c r="R112" s="17">
        <v>0.35251798561151082</v>
      </c>
      <c r="S112" s="79">
        <v>-0.2021276595744681</v>
      </c>
      <c r="T112" s="79">
        <v>3.1375127257896818E-2</v>
      </c>
      <c r="U112" s="79">
        <v>0.10739128723553049</v>
      </c>
      <c r="V112" s="79">
        <v>8.2643440441310778E-2</v>
      </c>
      <c r="W112" s="79">
        <v>8.8392493123741422E-2</v>
      </c>
      <c r="X112" s="79">
        <v>9.0907323021670816E-2</v>
      </c>
    </row>
    <row r="113" spans="2:24" x14ac:dyDescent="0.15">
      <c r="B113" s="20" t="s">
        <v>52</v>
      </c>
      <c r="C113" s="18">
        <v>193</v>
      </c>
      <c r="D113" s="18">
        <v>35</v>
      </c>
      <c r="E113" s="18">
        <v>19</v>
      </c>
      <c r="F113" s="18">
        <v>107</v>
      </c>
      <c r="G113" s="18">
        <v>130</v>
      </c>
      <c r="H113" s="18">
        <v>185</v>
      </c>
      <c r="I113" s="19">
        <v>147</v>
      </c>
      <c r="J113" s="19">
        <v>152.48171472996029</v>
      </c>
      <c r="K113" s="19">
        <v>157.41893956390842</v>
      </c>
      <c r="L113" s="19">
        <v>162.79933422729144</v>
      </c>
      <c r="M113" s="19">
        <v>169.79376249836943</v>
      </c>
      <c r="N113" s="19">
        <v>177.44031905723693</v>
      </c>
      <c r="P113" s="20" t="s">
        <v>52</v>
      </c>
      <c r="Q113" s="16">
        <v>0.2149532710280373</v>
      </c>
      <c r="R113" s="17">
        <v>0.42307692307692313</v>
      </c>
      <c r="S113" s="79">
        <v>-0.20540540540540542</v>
      </c>
      <c r="T113" s="79">
        <v>3.7290576394287678E-2</v>
      </c>
      <c r="U113" s="79">
        <v>3.2379127180539591E-2</v>
      </c>
      <c r="V113" s="79">
        <v>3.417882675545969E-2</v>
      </c>
      <c r="W113" s="79">
        <v>4.2963494318181583E-2</v>
      </c>
      <c r="X113" s="79">
        <v>4.503437845039171E-2</v>
      </c>
    </row>
    <row r="114" spans="2:24" x14ac:dyDescent="0.15">
      <c r="B114" s="20" t="s">
        <v>53</v>
      </c>
      <c r="C114" s="18">
        <v>93</v>
      </c>
      <c r="D114" s="18">
        <v>9</v>
      </c>
      <c r="E114" s="18">
        <v>43</v>
      </c>
      <c r="F114" s="18">
        <v>69</v>
      </c>
      <c r="G114" s="18">
        <v>71</v>
      </c>
      <c r="H114" s="18">
        <v>72.516044867345769</v>
      </c>
      <c r="I114" s="19">
        <v>65.668702489333342</v>
      </c>
      <c r="J114" s="19">
        <v>52.727781633070784</v>
      </c>
      <c r="K114" s="19">
        <v>61.628671903342514</v>
      </c>
      <c r="L114" s="19">
        <v>73.014450108293119</v>
      </c>
      <c r="M114" s="19">
        <v>78.17814586269435</v>
      </c>
      <c r="N114" s="19">
        <v>83.412993331314766</v>
      </c>
      <c r="P114" s="20" t="s">
        <v>53</v>
      </c>
      <c r="Q114" s="16">
        <v>2.8985507246376718E-2</v>
      </c>
      <c r="R114" s="17">
        <v>2.1352744610503738E-2</v>
      </c>
      <c r="S114" s="79">
        <v>-9.4425204663855178E-2</v>
      </c>
      <c r="T114" s="79">
        <v>-0.19706375131082532</v>
      </c>
      <c r="U114" s="79">
        <v>0.16880835860329668</v>
      </c>
      <c r="V114" s="79">
        <v>0.18474807022951723</v>
      </c>
      <c r="W114" s="79">
        <v>7.0721559180991989E-2</v>
      </c>
      <c r="X114" s="79">
        <v>6.6960496579369755E-2</v>
      </c>
    </row>
    <row r="115" spans="2:24" x14ac:dyDescent="0.15">
      <c r="B115" s="20" t="s">
        <v>19</v>
      </c>
      <c r="C115" s="18">
        <v>1731.6585</v>
      </c>
      <c r="D115" s="18">
        <v>400.77589999999998</v>
      </c>
      <c r="E115" s="18">
        <v>310.24062419000001</v>
      </c>
      <c r="F115" s="18">
        <v>1301.7107280837256</v>
      </c>
      <c r="G115" s="18">
        <v>1768.9094048547549</v>
      </c>
      <c r="H115" s="18">
        <v>1726.3045157088027</v>
      </c>
      <c r="I115" s="19">
        <v>1379.8341831260868</v>
      </c>
      <c r="J115" s="19">
        <v>1415.2925603683377</v>
      </c>
      <c r="K115" s="19">
        <v>1495.4038110188196</v>
      </c>
      <c r="L115" s="19">
        <v>1582.4134575469993</v>
      </c>
      <c r="M115" s="19">
        <v>1657.7180215712456</v>
      </c>
      <c r="N115" s="19">
        <v>1729.7717874531904</v>
      </c>
      <c r="P115" s="20" t="s">
        <v>19</v>
      </c>
      <c r="Q115" s="16">
        <v>0.35891129011343548</v>
      </c>
      <c r="R115" s="17">
        <v>-2.408539918948005E-2</v>
      </c>
      <c r="S115" s="79">
        <v>-0.20070058870260132</v>
      </c>
      <c r="T115" s="79">
        <v>2.5697564008682505E-2</v>
      </c>
      <c r="U115" s="79">
        <v>5.6604021595105802E-2</v>
      </c>
      <c r="V115" s="79">
        <v>5.8184716320135665E-2</v>
      </c>
      <c r="W115" s="79">
        <v>4.7588424924659423E-2</v>
      </c>
      <c r="X115" s="79">
        <v>4.3465634652176677E-2</v>
      </c>
    </row>
    <row r="116" spans="2:24" x14ac:dyDescent="0.15">
      <c r="B116" s="20" t="s">
        <v>18</v>
      </c>
      <c r="C116" s="18">
        <v>7676.5303999999996</v>
      </c>
      <c r="D116" s="18">
        <v>2007.8325</v>
      </c>
      <c r="E116" s="33">
        <v>3718.9135056719992</v>
      </c>
      <c r="F116" s="33">
        <v>5999.6565370595745</v>
      </c>
      <c r="G116" s="33">
        <v>6943.5303999999996</v>
      </c>
      <c r="H116" s="33">
        <v>7826.1018177054639</v>
      </c>
      <c r="I116" s="53">
        <v>8411.2546996478395</v>
      </c>
      <c r="J116" s="53">
        <v>8650.7700825688553</v>
      </c>
      <c r="K116" s="53">
        <v>8849.4537988818902</v>
      </c>
      <c r="L116" s="53">
        <v>9077.6177267501771</v>
      </c>
      <c r="M116" s="53">
        <v>9334.4298943603771</v>
      </c>
      <c r="N116" s="53">
        <v>9531.7997285246984</v>
      </c>
      <c r="P116" s="20" t="s">
        <v>18</v>
      </c>
      <c r="Q116" s="16">
        <v>0.15732131616371103</v>
      </c>
      <c r="R116" s="17">
        <v>0.12710701427986315</v>
      </c>
      <c r="S116" s="79">
        <v>7.4769392933088152E-2</v>
      </c>
      <c r="T116" s="79">
        <v>2.8475583188682263E-2</v>
      </c>
      <c r="U116" s="79">
        <v>2.2967171062999281E-2</v>
      </c>
      <c r="V116" s="79">
        <v>2.5782826042564988E-2</v>
      </c>
      <c r="W116" s="79">
        <v>2.8290700857937612E-2</v>
      </c>
      <c r="X116" s="79">
        <v>2.1144283732160929E-2</v>
      </c>
    </row>
    <row r="117" spans="2:24" x14ac:dyDescent="0.15">
      <c r="B117" s="54" t="s">
        <v>54</v>
      </c>
      <c r="C117" s="33">
        <v>7137.5303999999996</v>
      </c>
      <c r="D117" s="33">
        <v>1755.8325</v>
      </c>
      <c r="E117" s="33">
        <v>3082.9135056719992</v>
      </c>
      <c r="F117" s="33">
        <v>5534.6565370595745</v>
      </c>
      <c r="G117" s="33">
        <v>6387.5303999999996</v>
      </c>
      <c r="H117" s="33">
        <v>7215.1018177054639</v>
      </c>
      <c r="I117" s="53">
        <v>7705.2546996478395</v>
      </c>
      <c r="J117" s="53">
        <v>7932.5909871584827</v>
      </c>
      <c r="K117" s="53">
        <v>8118.8375514140234</v>
      </c>
      <c r="L117" s="53">
        <v>8324.0000456061407</v>
      </c>
      <c r="M117" s="53">
        <v>8568.0513326786786</v>
      </c>
      <c r="N117" s="53">
        <v>8744.8420327680124</v>
      </c>
      <c r="P117" s="54" t="s">
        <v>54</v>
      </c>
      <c r="Q117" s="55">
        <v>0.15409698094717461</v>
      </c>
      <c r="R117" s="85">
        <v>0.12956046639018171</v>
      </c>
      <c r="S117" s="86">
        <v>6.7934298687174044E-2</v>
      </c>
      <c r="T117" s="86">
        <v>2.9504058771870678E-2</v>
      </c>
      <c r="U117" s="86">
        <v>2.3478654648530606E-2</v>
      </c>
      <c r="V117" s="86">
        <v>2.5269934629543744E-2</v>
      </c>
      <c r="W117" s="86">
        <v>2.9318991558795249E-2</v>
      </c>
      <c r="X117" s="86">
        <v>2.0633711590294812E-2</v>
      </c>
    </row>
    <row r="118" spans="2:24" x14ac:dyDescent="0.15">
      <c r="B118" s="54" t="s">
        <v>55</v>
      </c>
      <c r="C118" s="33">
        <v>539</v>
      </c>
      <c r="D118" s="33">
        <v>252</v>
      </c>
      <c r="E118" s="18">
        <v>636</v>
      </c>
      <c r="F118" s="18">
        <v>465</v>
      </c>
      <c r="G118" s="18">
        <v>556</v>
      </c>
      <c r="H118" s="18">
        <v>611</v>
      </c>
      <c r="I118" s="19">
        <v>706</v>
      </c>
      <c r="J118" s="19">
        <v>718.17909541037261</v>
      </c>
      <c r="K118" s="19">
        <v>730.61624746786674</v>
      </c>
      <c r="L118" s="19">
        <v>753.6176811440364</v>
      </c>
      <c r="M118" s="19">
        <v>766.37856168169856</v>
      </c>
      <c r="N118" s="19">
        <v>786.95769575668601</v>
      </c>
      <c r="P118" s="54" t="s">
        <v>55</v>
      </c>
      <c r="Q118" s="55">
        <v>0.19569892473118289</v>
      </c>
      <c r="R118" s="85">
        <v>9.8920863309352569E-2</v>
      </c>
      <c r="S118" s="86">
        <v>0.15548281505728312</v>
      </c>
      <c r="T118" s="86">
        <v>1.7250843357468293E-2</v>
      </c>
      <c r="U118" s="86">
        <v>1.7317619152347197E-2</v>
      </c>
      <c r="V118" s="86">
        <v>3.1482236749985848E-2</v>
      </c>
      <c r="W118" s="86">
        <v>1.6932830607544025E-2</v>
      </c>
      <c r="X118" s="86">
        <v>2.6852439647880644E-2</v>
      </c>
    </row>
    <row r="119" spans="2:24" x14ac:dyDescent="0.15">
      <c r="B119" s="20" t="s">
        <v>56</v>
      </c>
      <c r="C119" s="18">
        <v>2562</v>
      </c>
      <c r="D119" s="18">
        <v>461</v>
      </c>
      <c r="E119" s="18">
        <v>571</v>
      </c>
      <c r="F119" s="18">
        <v>1577</v>
      </c>
      <c r="G119" s="18">
        <v>2186</v>
      </c>
      <c r="H119" s="18">
        <v>2379.483955132655</v>
      </c>
      <c r="I119" s="19">
        <v>2226.3312975106664</v>
      </c>
      <c r="J119" s="19">
        <v>2285.5561497500848</v>
      </c>
      <c r="K119" s="19">
        <v>2373.1521601521736</v>
      </c>
      <c r="L119" s="19">
        <v>2474.3894000881355</v>
      </c>
      <c r="M119" s="19">
        <v>2528.4696853765245</v>
      </c>
      <c r="N119" s="19">
        <v>2625.0672455239264</v>
      </c>
      <c r="P119" s="20" t="s">
        <v>56</v>
      </c>
      <c r="Q119" s="16">
        <v>0.3861762840837033</v>
      </c>
      <c r="R119" s="17">
        <v>8.8510500975596873E-2</v>
      </c>
      <c r="S119" s="79">
        <v>-6.4363811864178055E-2</v>
      </c>
      <c r="T119" s="79">
        <v>2.6601994189112688E-2</v>
      </c>
      <c r="U119" s="79">
        <v>3.8325906108964691E-2</v>
      </c>
      <c r="V119" s="79">
        <v>4.2659396913458103E-2</v>
      </c>
      <c r="W119" s="79">
        <v>2.1856012350547127E-2</v>
      </c>
      <c r="X119" s="79">
        <v>3.8203962145987536E-2</v>
      </c>
    </row>
    <row r="120" spans="2:24" ht="4.25" customHeight="1" x14ac:dyDescent="0.15">
      <c r="B120" s="24"/>
      <c r="C120" s="25"/>
      <c r="D120" s="25"/>
      <c r="E120" s="25"/>
      <c r="F120" s="25"/>
      <c r="G120" s="25"/>
      <c r="H120" s="25"/>
      <c r="I120" s="26"/>
      <c r="J120" s="26"/>
      <c r="K120" s="26"/>
      <c r="L120" s="26"/>
      <c r="M120" s="26"/>
      <c r="N120" s="26"/>
      <c r="P120" s="24"/>
      <c r="Q120" s="88"/>
      <c r="R120" s="56"/>
      <c r="S120" s="87"/>
      <c r="T120" s="87"/>
      <c r="U120" s="87"/>
      <c r="V120" s="87"/>
      <c r="W120" s="87"/>
      <c r="X120" s="87"/>
    </row>
    <row r="121" spans="2:24" ht="4.25" customHeight="1" x14ac:dyDescent="0.15">
      <c r="B121" s="20"/>
      <c r="C121" s="18"/>
      <c r="D121" s="18"/>
      <c r="E121" s="18"/>
      <c r="F121" s="18"/>
      <c r="G121" s="18"/>
      <c r="H121" s="18"/>
      <c r="I121" s="19"/>
      <c r="J121" s="19"/>
      <c r="K121" s="19"/>
      <c r="L121" s="19"/>
      <c r="M121" s="19"/>
      <c r="N121" s="19"/>
      <c r="P121" s="20"/>
      <c r="Q121" s="16"/>
      <c r="R121" s="17"/>
      <c r="S121" s="79"/>
      <c r="T121" s="79"/>
      <c r="U121" s="79"/>
      <c r="V121" s="79"/>
      <c r="W121" s="79"/>
      <c r="X121" s="79"/>
    </row>
    <row r="122" spans="2:24" x14ac:dyDescent="0.15">
      <c r="B122" s="57" t="s">
        <v>4</v>
      </c>
      <c r="C122" s="18">
        <v>3613.6381022999999</v>
      </c>
      <c r="D122" s="18">
        <v>827.33745640000006</v>
      </c>
      <c r="E122" s="18">
        <v>627.22080384316394</v>
      </c>
      <c r="F122" s="18">
        <v>1716.4296207109219</v>
      </c>
      <c r="G122" s="18">
        <v>2463.1072110266127</v>
      </c>
      <c r="H122" s="18">
        <v>3468.4453300169957</v>
      </c>
      <c r="I122" s="19">
        <v>3479.9435520363495</v>
      </c>
      <c r="J122" s="19">
        <v>3528.5273971403985</v>
      </c>
      <c r="K122" s="19">
        <v>3628.8138419604538</v>
      </c>
      <c r="L122" s="19">
        <v>3742.8554416731013</v>
      </c>
      <c r="M122" s="19">
        <v>3900.9185158955233</v>
      </c>
      <c r="N122" s="19">
        <v>4040.1980080823814</v>
      </c>
      <c r="P122" s="57" t="s">
        <v>4</v>
      </c>
      <c r="Q122" s="16">
        <v>0.43501788905648642</v>
      </c>
      <c r="R122" s="17">
        <v>0.40815848960604617</v>
      </c>
      <c r="S122" s="79">
        <v>3.3150939182591266E-3</v>
      </c>
      <c r="T122" s="79">
        <v>1.3961101488447758E-2</v>
      </c>
      <c r="U122" s="79">
        <v>2.8421614325945033E-2</v>
      </c>
      <c r="V122" s="79">
        <v>3.1426687804695153E-2</v>
      </c>
      <c r="W122" s="79">
        <v>4.223061154394081E-2</v>
      </c>
      <c r="X122" s="79">
        <v>3.5704281342796573E-2</v>
      </c>
    </row>
    <row r="123" spans="2:24" x14ac:dyDescent="0.15">
      <c r="B123" s="57" t="s">
        <v>5</v>
      </c>
      <c r="C123" s="18">
        <v>13843.550797700002</v>
      </c>
      <c r="D123" s="18">
        <v>2916.2709436</v>
      </c>
      <c r="E123" s="18">
        <v>4513.9333260188359</v>
      </c>
      <c r="F123" s="18">
        <v>10039.937644432379</v>
      </c>
      <c r="G123" s="18">
        <v>12531.332593828143</v>
      </c>
      <c r="H123" s="18">
        <v>13047.961003397271</v>
      </c>
      <c r="I123" s="19">
        <v>12927.145330737576</v>
      </c>
      <c r="J123" s="19">
        <v>13275.664436997296</v>
      </c>
      <c r="K123" s="19">
        <v>13827.543828248385</v>
      </c>
      <c r="L123" s="19">
        <v>14443.965945112341</v>
      </c>
      <c r="M123" s="19">
        <v>15016.109404253995</v>
      </c>
      <c r="N123" s="19">
        <v>15611.203002128324</v>
      </c>
      <c r="P123" s="57" t="s">
        <v>5</v>
      </c>
      <c r="Q123" s="16">
        <v>0.24814844848935502</v>
      </c>
      <c r="R123" s="17">
        <v>4.1226933025748203E-2</v>
      </c>
      <c r="S123" s="79">
        <v>-9.2593526780344604E-3</v>
      </c>
      <c r="T123" s="79">
        <v>2.6960252812430863E-2</v>
      </c>
      <c r="U123" s="79">
        <v>4.1570754810063004E-2</v>
      </c>
      <c r="V123" s="79">
        <v>4.4579292209847354E-2</v>
      </c>
      <c r="W123" s="79">
        <v>3.9611243983530775E-2</v>
      </c>
      <c r="X123" s="79">
        <v>3.963034510828356E-2</v>
      </c>
    </row>
    <row r="124" spans="2:24" ht="4.25" customHeight="1" x14ac:dyDescent="0.15">
      <c r="C124" s="36"/>
      <c r="D124" s="36"/>
      <c r="E124" s="36"/>
      <c r="F124" s="36"/>
      <c r="G124" s="36"/>
      <c r="H124" s="36"/>
      <c r="I124" s="37"/>
      <c r="J124" s="37"/>
      <c r="K124" s="37"/>
      <c r="L124" s="37"/>
      <c r="M124" s="37"/>
      <c r="N124" s="37"/>
      <c r="Q124" s="36"/>
      <c r="R124" s="36"/>
      <c r="S124" s="37"/>
      <c r="T124" s="37"/>
      <c r="U124" s="37"/>
      <c r="V124" s="37"/>
      <c r="W124" s="37"/>
      <c r="X124" s="37"/>
    </row>
    <row r="125" spans="2:24" x14ac:dyDescent="0.15">
      <c r="B125" s="38" t="s">
        <v>61</v>
      </c>
      <c r="P125" s="119"/>
      <c r="Q125" s="119"/>
      <c r="R125" s="119"/>
    </row>
    <row r="126" spans="2:24" x14ac:dyDescent="0.15">
      <c r="B126" s="39"/>
      <c r="H126" s="47"/>
      <c r="I126" s="18"/>
      <c r="P126" s="58"/>
      <c r="Q126" s="58"/>
      <c r="R126" s="58"/>
    </row>
    <row r="128" spans="2:24" ht="16" x14ac:dyDescent="0.2">
      <c r="B128" s="1" t="s">
        <v>57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P128" s="4" t="s">
        <v>65</v>
      </c>
      <c r="Q128" s="4"/>
      <c r="R128" s="4"/>
      <c r="S128" s="4"/>
      <c r="T128" s="1"/>
      <c r="U128" s="1"/>
      <c r="V128" s="1"/>
      <c r="W128" s="1"/>
      <c r="X128" s="1"/>
    </row>
    <row r="129" spans="2:24" x14ac:dyDescent="0.15">
      <c r="E129" s="3"/>
      <c r="H129" s="75"/>
      <c r="I129" s="3" t="s">
        <v>69</v>
      </c>
      <c r="J129" s="3" t="s">
        <v>2</v>
      </c>
      <c r="R129" s="75"/>
      <c r="S129" s="3" t="s">
        <v>69</v>
      </c>
      <c r="T129" s="3" t="s">
        <v>2</v>
      </c>
    </row>
    <row r="130" spans="2:24" ht="4.25" customHeight="1" x14ac:dyDescent="0.2">
      <c r="B130" s="4"/>
      <c r="P130" s="4"/>
    </row>
    <row r="131" spans="2:24" x14ac:dyDescent="0.15">
      <c r="C131" s="5">
        <v>2019</v>
      </c>
      <c r="D131" s="5">
        <v>2020</v>
      </c>
      <c r="E131" s="5">
        <v>2021</v>
      </c>
      <c r="F131" s="5">
        <v>2022</v>
      </c>
      <c r="G131" s="5">
        <v>2023</v>
      </c>
      <c r="H131" s="5">
        <v>2024</v>
      </c>
      <c r="I131" s="6">
        <v>2025</v>
      </c>
      <c r="J131" s="6">
        <v>2026</v>
      </c>
      <c r="K131" s="6">
        <v>2027</v>
      </c>
      <c r="L131" s="6">
        <v>2028</v>
      </c>
      <c r="M131" s="6">
        <v>2029</v>
      </c>
      <c r="N131" s="6">
        <v>2030</v>
      </c>
      <c r="Q131" s="5">
        <v>2023</v>
      </c>
      <c r="R131" s="5">
        <v>2024</v>
      </c>
      <c r="S131" s="6">
        <v>2025</v>
      </c>
      <c r="T131" s="6">
        <v>2026</v>
      </c>
      <c r="U131" s="6">
        <v>2027</v>
      </c>
      <c r="V131" s="6">
        <v>2028</v>
      </c>
      <c r="W131" s="6">
        <v>2029</v>
      </c>
      <c r="X131" s="6">
        <v>2030</v>
      </c>
    </row>
    <row r="132" spans="2:24" ht="4.25" customHeight="1" x14ac:dyDescent="0.15">
      <c r="I132" s="8"/>
      <c r="J132" s="8"/>
      <c r="K132" s="8"/>
      <c r="L132" s="8"/>
      <c r="M132" s="8"/>
      <c r="N132" s="8"/>
      <c r="S132" s="8"/>
      <c r="T132" s="8"/>
      <c r="U132" s="8"/>
      <c r="V132" s="8"/>
      <c r="W132" s="8"/>
      <c r="X132" s="8"/>
    </row>
    <row r="133" spans="2:24" x14ac:dyDescent="0.15">
      <c r="B133" s="7" t="s">
        <v>7</v>
      </c>
      <c r="C133" s="59">
        <v>28.136815999999996</v>
      </c>
      <c r="D133" s="59">
        <v>5.299958842175247</v>
      </c>
      <c r="E133" s="59">
        <v>5.1738518324297704</v>
      </c>
      <c r="F133" s="59">
        <v>17.585996949775105</v>
      </c>
      <c r="G133" s="59">
        <v>22.548739418977213</v>
      </c>
      <c r="H133" s="59">
        <v>26.035311849565957</v>
      </c>
      <c r="I133" s="60">
        <v>25.414717339367012</v>
      </c>
      <c r="J133" s="60">
        <v>26.629010786270534</v>
      </c>
      <c r="K133" s="60">
        <v>28.400292435805824</v>
      </c>
      <c r="L133" s="60">
        <v>30.304179198683595</v>
      </c>
      <c r="M133" s="60">
        <v>32.156350592728401</v>
      </c>
      <c r="N133" s="60">
        <v>34.115873207579497</v>
      </c>
      <c r="P133" s="7" t="s">
        <v>7</v>
      </c>
      <c r="Q133" s="11">
        <v>0.28219852894183362</v>
      </c>
      <c r="R133" s="44">
        <v>0.15462382911101513</v>
      </c>
      <c r="S133" s="78">
        <v>-2.3836645928606015E-2</v>
      </c>
      <c r="T133" s="78">
        <v>4.7779144292216857E-2</v>
      </c>
      <c r="U133" s="78">
        <v>6.6516990201098025E-2</v>
      </c>
      <c r="V133" s="78">
        <v>6.7037576010218647E-2</v>
      </c>
      <c r="W133" s="78">
        <v>6.1119338751971952E-2</v>
      </c>
      <c r="X133" s="78">
        <v>6.0937344528586124E-2</v>
      </c>
    </row>
    <row r="134" spans="2:24" ht="4.25" customHeight="1" x14ac:dyDescent="0.15">
      <c r="C134" s="62"/>
      <c r="D134" s="62"/>
      <c r="E134" s="62"/>
      <c r="F134" s="62"/>
      <c r="G134" s="62"/>
      <c r="H134" s="62"/>
      <c r="I134" s="63"/>
      <c r="J134" s="63"/>
      <c r="K134" s="63"/>
      <c r="L134" s="63"/>
      <c r="M134" s="63"/>
      <c r="N134" s="63"/>
      <c r="Q134" s="16"/>
      <c r="R134" s="17"/>
      <c r="S134" s="79"/>
      <c r="T134" s="79"/>
      <c r="U134" s="79"/>
      <c r="V134" s="79"/>
      <c r="W134" s="79"/>
      <c r="X134" s="79"/>
    </row>
    <row r="135" spans="2:24" x14ac:dyDescent="0.15">
      <c r="B135" s="20" t="s">
        <v>42</v>
      </c>
      <c r="C135" s="62">
        <v>2.6930253530120156</v>
      </c>
      <c r="D135" s="62">
        <v>0.45238248365378159</v>
      </c>
      <c r="E135" s="62">
        <v>0.11814906591164698</v>
      </c>
      <c r="F135" s="62">
        <v>0.45926238291396626</v>
      </c>
      <c r="G135" s="62">
        <v>1.4241051073279052</v>
      </c>
      <c r="H135" s="62">
        <v>1.9779324679741852</v>
      </c>
      <c r="I135" s="63">
        <v>1.8538121484482331</v>
      </c>
      <c r="J135" s="63">
        <v>2.0012029115933507</v>
      </c>
      <c r="K135" s="63">
        <v>2.2104119993095059</v>
      </c>
      <c r="L135" s="63">
        <v>2.4249159363959181</v>
      </c>
      <c r="M135" s="63">
        <v>2.6526476162693267</v>
      </c>
      <c r="N135" s="63">
        <v>2.9372228394706332</v>
      </c>
      <c r="P135" s="20" t="s">
        <v>42</v>
      </c>
      <c r="Q135" s="16">
        <v>2.1008529335499335</v>
      </c>
      <c r="R135" s="17">
        <v>0.38889500346322348</v>
      </c>
      <c r="S135" s="79">
        <v>-6.2752556791323189E-2</v>
      </c>
      <c r="T135" s="79">
        <v>7.9506849315068795E-2</v>
      </c>
      <c r="U135" s="79">
        <v>0.10454166666666675</v>
      </c>
      <c r="V135" s="79">
        <v>9.7042513863216273E-2</v>
      </c>
      <c r="W135" s="79">
        <v>9.3913226621735735E-2</v>
      </c>
      <c r="X135" s="79">
        <v>0.10727969348658983</v>
      </c>
    </row>
    <row r="136" spans="2:24" x14ac:dyDescent="0.15">
      <c r="B136" s="20" t="s">
        <v>43</v>
      </c>
      <c r="C136" s="62">
        <v>1.3212902401779729</v>
      </c>
      <c r="D136" s="62">
        <v>0.2954625835724447</v>
      </c>
      <c r="E136" s="62">
        <v>0.24045159450261908</v>
      </c>
      <c r="F136" s="62">
        <v>0.86029226760840105</v>
      </c>
      <c r="G136" s="62">
        <v>1.2054998167590056</v>
      </c>
      <c r="H136" s="62">
        <v>1.5436450695262471</v>
      </c>
      <c r="I136" s="63">
        <v>1.7258234712243421</v>
      </c>
      <c r="J136" s="63">
        <v>1.7587410851169047</v>
      </c>
      <c r="K136" s="63">
        <v>1.8528854608496328</v>
      </c>
      <c r="L136" s="63">
        <v>1.9646172474335304</v>
      </c>
      <c r="M136" s="63">
        <v>2.0832391608567686</v>
      </c>
      <c r="N136" s="63">
        <v>2.197010750869488</v>
      </c>
      <c r="P136" s="20" t="s">
        <v>43</v>
      </c>
      <c r="Q136" s="16">
        <v>0.40126775765435641</v>
      </c>
      <c r="R136" s="17">
        <v>0.28050211876128461</v>
      </c>
      <c r="S136" s="79">
        <v>0.11801832253706257</v>
      </c>
      <c r="T136" s="79">
        <v>1.9073569482288999E-2</v>
      </c>
      <c r="U136" s="79">
        <v>5.3529411764705603E-2</v>
      </c>
      <c r="V136" s="79">
        <v>6.0301507537688481E-2</v>
      </c>
      <c r="W136" s="79">
        <v>6.037914691943147E-2</v>
      </c>
      <c r="X136" s="79">
        <v>5.4612831858406929E-2</v>
      </c>
    </row>
    <row r="137" spans="2:24" x14ac:dyDescent="0.15">
      <c r="B137" s="20" t="s">
        <v>44</v>
      </c>
      <c r="C137" s="62">
        <v>1.3783334371876492</v>
      </c>
      <c r="D137" s="62">
        <v>0.26810487540787586</v>
      </c>
      <c r="E137" s="62">
        <v>7.1734000708579368E-2</v>
      </c>
      <c r="F137" s="62">
        <v>0.36725374836039487</v>
      </c>
      <c r="G137" s="62">
        <v>0.82230498514576733</v>
      </c>
      <c r="H137" s="62">
        <v>0.88887373164978778</v>
      </c>
      <c r="I137" s="63">
        <v>1.0206091610614692</v>
      </c>
      <c r="J137" s="63">
        <v>1.0524059805636683</v>
      </c>
      <c r="K137" s="63">
        <v>1.1273391505449846</v>
      </c>
      <c r="L137" s="63">
        <v>1.2341956273182912</v>
      </c>
      <c r="M137" s="63">
        <v>1.3444314318680868</v>
      </c>
      <c r="N137" s="63">
        <v>1.4820459394214023</v>
      </c>
      <c r="P137" s="20" t="s">
        <v>44</v>
      </c>
      <c r="Q137" s="16">
        <v>1.2390649212348399</v>
      </c>
      <c r="R137" s="17">
        <v>8.095384037130704E-2</v>
      </c>
      <c r="S137" s="79">
        <v>0.1482048852621336</v>
      </c>
      <c r="T137" s="79">
        <v>3.1154746317512361E-2</v>
      </c>
      <c r="U137" s="79">
        <v>7.1201771336554032E-2</v>
      </c>
      <c r="V137" s="79">
        <v>9.4786450662739385E-2</v>
      </c>
      <c r="W137" s="79">
        <v>8.9317934782608299E-2</v>
      </c>
      <c r="X137" s="79">
        <v>0.10235888888888911</v>
      </c>
    </row>
    <row r="138" spans="2:24" x14ac:dyDescent="0.15">
      <c r="B138" s="20" t="s">
        <v>45</v>
      </c>
      <c r="C138" s="62">
        <v>1.1674272558857146</v>
      </c>
      <c r="D138" s="62">
        <v>0.26842360284153904</v>
      </c>
      <c r="E138" s="62">
        <v>9.6428181225371473E-2</v>
      </c>
      <c r="F138" s="62">
        <v>0.60821445497581916</v>
      </c>
      <c r="G138" s="62">
        <v>0.95243025482729871</v>
      </c>
      <c r="H138" s="62">
        <v>1.0426858701909778</v>
      </c>
      <c r="I138" s="63">
        <v>0.91643992083616721</v>
      </c>
      <c r="J138" s="63">
        <v>0.96177399585320134</v>
      </c>
      <c r="K138" s="63">
        <v>1.0807765501290176</v>
      </c>
      <c r="L138" s="63">
        <v>1.2008903762928256</v>
      </c>
      <c r="M138" s="63">
        <v>1.3254540128205188</v>
      </c>
      <c r="N138" s="63">
        <v>1.4524965037403605</v>
      </c>
      <c r="P138" s="20" t="s">
        <v>45</v>
      </c>
      <c r="Q138" s="16">
        <v>0.56594478647365354</v>
      </c>
      <c r="R138" s="17">
        <v>9.4763490456364119E-2</v>
      </c>
      <c r="S138" s="79">
        <v>-0.12107764472888416</v>
      </c>
      <c r="T138" s="79">
        <v>4.9467590822179552E-2</v>
      </c>
      <c r="U138" s="79">
        <v>0.12373234750462103</v>
      </c>
      <c r="V138" s="79">
        <v>0.11113659539473675</v>
      </c>
      <c r="W138" s="79">
        <v>0.10372606774668625</v>
      </c>
      <c r="X138" s="79">
        <v>9.5848282694847908E-2</v>
      </c>
    </row>
    <row r="139" spans="2:24" x14ac:dyDescent="0.15">
      <c r="B139" s="20" t="s">
        <v>46</v>
      </c>
      <c r="C139" s="62">
        <v>1.2620906405086787</v>
      </c>
      <c r="D139" s="62">
        <v>0.19389968348490796</v>
      </c>
      <c r="E139" s="62">
        <v>4.2202771647510039E-2</v>
      </c>
      <c r="F139" s="62">
        <v>0.7459444115133842</v>
      </c>
      <c r="G139" s="62">
        <v>1.2604396096855801</v>
      </c>
      <c r="H139" s="62">
        <v>1.3345486775737465</v>
      </c>
      <c r="I139" s="63">
        <v>1.2782437206450217</v>
      </c>
      <c r="J139" s="63">
        <v>1.345939119271</v>
      </c>
      <c r="K139" s="63">
        <v>1.4335199464686337</v>
      </c>
      <c r="L139" s="63">
        <v>1.5561236261008193</v>
      </c>
      <c r="M139" s="63">
        <v>1.7258825671299998</v>
      </c>
      <c r="N139" s="63">
        <v>1.8767794036003824</v>
      </c>
      <c r="P139" s="20" t="s">
        <v>46</v>
      </c>
      <c r="Q139" s="16">
        <v>0.68972324241746064</v>
      </c>
      <c r="R139" s="17">
        <v>5.8796206750955093E-2</v>
      </c>
      <c r="S139" s="79">
        <v>-4.2190260928577805E-2</v>
      </c>
      <c r="T139" s="79">
        <v>5.2959695817490937E-2</v>
      </c>
      <c r="U139" s="79">
        <v>6.5070422535211003E-2</v>
      </c>
      <c r="V139" s="79">
        <v>8.5526315789473673E-2</v>
      </c>
      <c r="W139" s="79">
        <v>0.10909090909090913</v>
      </c>
      <c r="X139" s="79">
        <v>8.7431693989071135E-2</v>
      </c>
    </row>
    <row r="140" spans="2:24" x14ac:dyDescent="0.15">
      <c r="B140" s="20" t="s">
        <v>47</v>
      </c>
      <c r="C140" s="62">
        <v>1.4205195808850049</v>
      </c>
      <c r="D140" s="62">
        <v>0.22871347610914025</v>
      </c>
      <c r="E140" s="62">
        <v>0.15345484105089871</v>
      </c>
      <c r="F140" s="62">
        <v>1.2272495647818924</v>
      </c>
      <c r="G140" s="62">
        <v>1.3214490975177859</v>
      </c>
      <c r="H140" s="62">
        <v>1.3487874016562782</v>
      </c>
      <c r="I140" s="63">
        <v>1.3140921086944699</v>
      </c>
      <c r="J140" s="63">
        <v>1.3574373402753375</v>
      </c>
      <c r="K140" s="63">
        <v>1.4443302376354894</v>
      </c>
      <c r="L140" s="63">
        <v>1.5405966685582277</v>
      </c>
      <c r="M140" s="63">
        <v>1.6598556838273786</v>
      </c>
      <c r="N140" s="63">
        <v>1.7662139402002472</v>
      </c>
      <c r="P140" s="20" t="s">
        <v>47</v>
      </c>
      <c r="Q140" s="16">
        <v>7.6756623460391804E-2</v>
      </c>
      <c r="R140" s="17">
        <v>2.0688125021118609E-2</v>
      </c>
      <c r="S140" s="79">
        <v>-2.5723322236850144E-2</v>
      </c>
      <c r="T140" s="79">
        <v>3.2984926470588372E-2</v>
      </c>
      <c r="U140" s="79">
        <v>6.4012455516014422E-2</v>
      </c>
      <c r="V140" s="79">
        <v>6.6651260504201559E-2</v>
      </c>
      <c r="W140" s="79">
        <v>7.7410926365795607E-2</v>
      </c>
      <c r="X140" s="79">
        <v>6.4076809453471606E-2</v>
      </c>
    </row>
    <row r="141" spans="2:24" x14ac:dyDescent="0.15">
      <c r="B141" s="20" t="s">
        <v>48</v>
      </c>
      <c r="C141" s="62">
        <v>0.97679313975543314</v>
      </c>
      <c r="D141" s="62">
        <v>0.12458490073240007</v>
      </c>
      <c r="E141" s="62">
        <v>8.553238721907494E-2</v>
      </c>
      <c r="F141" s="62">
        <v>0.82252278345954777</v>
      </c>
      <c r="G141" s="62">
        <v>0.98332457396888118</v>
      </c>
      <c r="H141" s="62">
        <v>1.0116673550222794</v>
      </c>
      <c r="I141" s="63">
        <v>0.94125232329725173</v>
      </c>
      <c r="J141" s="63">
        <v>0.97508887090454865</v>
      </c>
      <c r="K141" s="63">
        <v>1.0395143855893136</v>
      </c>
      <c r="L141" s="63">
        <v>1.095293206279472</v>
      </c>
      <c r="M141" s="63">
        <v>1.1612136307314778</v>
      </c>
      <c r="N141" s="63">
        <v>1.2254437878898419</v>
      </c>
      <c r="P141" s="20" t="s">
        <v>48</v>
      </c>
      <c r="Q141" s="16">
        <v>0.19549828131568314</v>
      </c>
      <c r="R141" s="17">
        <v>2.8823423927057501E-2</v>
      </c>
      <c r="S141" s="79">
        <v>-6.9602949403736569E-2</v>
      </c>
      <c r="T141" s="79">
        <v>3.594843462246744E-2</v>
      </c>
      <c r="U141" s="79">
        <v>6.6071428571428781E-2</v>
      </c>
      <c r="V141" s="79">
        <v>5.3658536585365901E-2</v>
      </c>
      <c r="W141" s="79">
        <v>6.0185185185185563E-2</v>
      </c>
      <c r="X141" s="79">
        <v>5.5312954876273634E-2</v>
      </c>
    </row>
    <row r="142" spans="2:24" x14ac:dyDescent="0.15">
      <c r="B142" s="20" t="s">
        <v>49</v>
      </c>
      <c r="C142" s="62">
        <v>1.1466901858152725</v>
      </c>
      <c r="D142" s="62">
        <v>0.14010399029910262</v>
      </c>
      <c r="E142" s="62">
        <v>0.11479407553001283</v>
      </c>
      <c r="F142" s="62">
        <v>0.98920728142981418</v>
      </c>
      <c r="G142" s="62">
        <v>1.0492769558046704</v>
      </c>
      <c r="H142" s="62">
        <v>1.0770152789368417</v>
      </c>
      <c r="I142" s="63">
        <v>1.0905716914465917</v>
      </c>
      <c r="J142" s="63">
        <v>1.1456717546345265</v>
      </c>
      <c r="K142" s="63">
        <v>1.2290747724924886</v>
      </c>
      <c r="L142" s="63">
        <v>1.308823898951925</v>
      </c>
      <c r="M142" s="63">
        <v>1.3979552755830598</v>
      </c>
      <c r="N142" s="63">
        <v>1.4826253922575519</v>
      </c>
      <c r="P142" s="20" t="s">
        <v>49</v>
      </c>
      <c r="Q142" s="16">
        <v>6.0725062888771664E-2</v>
      </c>
      <c r="R142" s="17">
        <v>2.6435654551185017E-2</v>
      </c>
      <c r="S142" s="79">
        <v>1.258701967824627E-2</v>
      </c>
      <c r="T142" s="79">
        <v>5.0524017467248994E-2</v>
      </c>
      <c r="U142" s="79">
        <v>7.2798353909464986E-2</v>
      </c>
      <c r="V142" s="79">
        <v>6.4885496183206159E-2</v>
      </c>
      <c r="W142" s="79">
        <v>6.8100358422939156E-2</v>
      </c>
      <c r="X142" s="79">
        <v>6.0567114093959651E-2</v>
      </c>
    </row>
    <row r="143" spans="2:24" x14ac:dyDescent="0.15">
      <c r="B143" s="20" t="s">
        <v>50</v>
      </c>
      <c r="C143" s="62">
        <v>0.48003355872277093</v>
      </c>
      <c r="D143" s="62">
        <v>5.142829863286727E-2</v>
      </c>
      <c r="E143" s="62">
        <v>5.0620496498157551E-2</v>
      </c>
      <c r="F143" s="62">
        <v>0.38458611711456714</v>
      </c>
      <c r="G143" s="62">
        <v>0.41945092823797631</v>
      </c>
      <c r="H143" s="62">
        <v>0.44027870629061111</v>
      </c>
      <c r="I143" s="63">
        <v>0.47455794290189168</v>
      </c>
      <c r="J143" s="63">
        <v>0.49666064161239076</v>
      </c>
      <c r="K143" s="63">
        <v>0.5223569791014675</v>
      </c>
      <c r="L143" s="63">
        <v>0.54352756800258228</v>
      </c>
      <c r="M143" s="63">
        <v>0.56494308574918761</v>
      </c>
      <c r="N143" s="63">
        <v>0.58924365181350546</v>
      </c>
      <c r="P143" s="20" t="s">
        <v>50</v>
      </c>
      <c r="Q143" s="16">
        <v>9.0655407389609532E-2</v>
      </c>
      <c r="R143" s="17">
        <v>4.9654862226978125E-2</v>
      </c>
      <c r="S143" s="79">
        <v>7.7858038832007814E-2</v>
      </c>
      <c r="T143" s="79">
        <v>4.6575342465753566E-2</v>
      </c>
      <c r="U143" s="79">
        <v>5.173821989528804E-2</v>
      </c>
      <c r="V143" s="79">
        <v>4.0528967254407799E-2</v>
      </c>
      <c r="W143" s="79">
        <v>3.9400977995109887E-2</v>
      </c>
      <c r="X143" s="79">
        <v>4.301418439716298E-2</v>
      </c>
    </row>
    <row r="144" spans="2:24" x14ac:dyDescent="0.15">
      <c r="B144" s="20" t="s">
        <v>51</v>
      </c>
      <c r="C144" s="62">
        <v>0.61715193938281165</v>
      </c>
      <c r="D144" s="62">
        <v>0.13600176843987932</v>
      </c>
      <c r="E144" s="62">
        <v>5.8580981866562444E-2</v>
      </c>
      <c r="F144" s="62">
        <v>0.50078273755577807</v>
      </c>
      <c r="G144" s="62">
        <v>0.34233232679000969</v>
      </c>
      <c r="H144" s="62">
        <v>0.46474814399597086</v>
      </c>
      <c r="I144" s="63">
        <v>0.37659771224175187</v>
      </c>
      <c r="J144" s="63">
        <v>0.39408133862450084</v>
      </c>
      <c r="K144" s="63">
        <v>0.44664991491900857</v>
      </c>
      <c r="L144" s="63">
        <v>0.49638924310960791</v>
      </c>
      <c r="M144" s="63">
        <v>0.54580053079997981</v>
      </c>
      <c r="N144" s="63">
        <v>0.60391088940600945</v>
      </c>
      <c r="P144" s="20" t="s">
        <v>51</v>
      </c>
      <c r="Q144" s="16">
        <v>-0.31640549660144768</v>
      </c>
      <c r="R144" s="17">
        <v>0.35759350673607981</v>
      </c>
      <c r="S144" s="79">
        <v>-0.18967355306960243</v>
      </c>
      <c r="T144" s="79">
        <v>4.642520603398026E-2</v>
      </c>
      <c r="U144" s="79">
        <v>0.13339524393109503</v>
      </c>
      <c r="V144" s="79">
        <v>0.11136088137309641</v>
      </c>
      <c r="W144" s="79">
        <v>9.9541415081513707E-2</v>
      </c>
      <c r="X144" s="79">
        <v>0.10646812402482886</v>
      </c>
    </row>
    <row r="145" spans="2:29" x14ac:dyDescent="0.15">
      <c r="B145" s="20" t="s">
        <v>52</v>
      </c>
      <c r="C145" s="62">
        <v>0.47543468567154401</v>
      </c>
      <c r="D145" s="62">
        <v>7.3734812959607807E-2</v>
      </c>
      <c r="E145" s="62">
        <v>3.7079450091946499E-2</v>
      </c>
      <c r="F145" s="62">
        <v>0.29108198841366395</v>
      </c>
      <c r="G145" s="62">
        <v>0.35322586986436011</v>
      </c>
      <c r="H145" s="62">
        <v>0.53295906288688355</v>
      </c>
      <c r="I145" s="63">
        <v>0.43550745111576777</v>
      </c>
      <c r="J145" s="63">
        <v>0.46663816891774668</v>
      </c>
      <c r="K145" s="63">
        <v>0.4915580665696469</v>
      </c>
      <c r="L145" s="63">
        <v>0.51414477337695841</v>
      </c>
      <c r="M145" s="63">
        <v>0.54419400923600103</v>
      </c>
      <c r="N145" s="63">
        <v>0.57453088383429995</v>
      </c>
      <c r="P145" s="20" t="s">
        <v>52</v>
      </c>
      <c r="Q145" s="16">
        <v>0.21349270626247718</v>
      </c>
      <c r="R145" s="17">
        <v>0.50883360579320414</v>
      </c>
      <c r="S145" s="79">
        <v>-0.18285008841626382</v>
      </c>
      <c r="T145" s="79">
        <v>7.1481481481481257E-2</v>
      </c>
      <c r="U145" s="79">
        <v>5.3403041825095032E-2</v>
      </c>
      <c r="V145" s="79">
        <v>4.5949214026602236E-2</v>
      </c>
      <c r="W145" s="79">
        <v>5.8445086705201765E-2</v>
      </c>
      <c r="X145" s="79">
        <v>5.5746432491767361E-2</v>
      </c>
    </row>
    <row r="146" spans="2:29" x14ac:dyDescent="0.15">
      <c r="B146" s="20" t="s">
        <v>53</v>
      </c>
      <c r="C146" s="62">
        <v>0.28359943553677885</v>
      </c>
      <c r="D146" s="62">
        <v>2.8311347408220413E-2</v>
      </c>
      <c r="E146" s="62">
        <v>0.13425308518785159</v>
      </c>
      <c r="F146" s="62">
        <v>0.23388</v>
      </c>
      <c r="G146" s="62">
        <v>0.27483115168848316</v>
      </c>
      <c r="H146" s="62">
        <v>0.28250605934137285</v>
      </c>
      <c r="I146" s="63">
        <v>0.24792297143092201</v>
      </c>
      <c r="J146" s="63">
        <v>0.20702891546713825</v>
      </c>
      <c r="K146" s="63">
        <v>0.2441642033204644</v>
      </c>
      <c r="L146" s="63">
        <v>0.29214629763152422</v>
      </c>
      <c r="M146" s="63">
        <v>0.31706465831186015</v>
      </c>
      <c r="N146" s="63">
        <v>0.34198301899219602</v>
      </c>
      <c r="P146" s="20" t="s">
        <v>53</v>
      </c>
      <c r="Q146" s="16">
        <v>0.17509471390663234</v>
      </c>
      <c r="R146" s="17">
        <v>2.7925901433433875E-2</v>
      </c>
      <c r="S146" s="79">
        <v>-0.1224153846153847</v>
      </c>
      <c r="T146" s="79">
        <v>-0.16494661921708187</v>
      </c>
      <c r="U146" s="79">
        <v>0.17937246963562758</v>
      </c>
      <c r="V146" s="79">
        <v>0.19651567944250847</v>
      </c>
      <c r="W146" s="79">
        <v>8.5294117647058965E-2</v>
      </c>
      <c r="X146" s="79">
        <v>7.8590785907858951E-2</v>
      </c>
    </row>
    <row r="147" spans="2:29" x14ac:dyDescent="0.15">
      <c r="B147" s="20" t="s">
        <v>19</v>
      </c>
      <c r="C147" s="62">
        <v>3.1626370000000001</v>
      </c>
      <c r="D147" s="62">
        <v>0.69415099999999996</v>
      </c>
      <c r="E147" s="62">
        <v>0.48417046922734253</v>
      </c>
      <c r="F147" s="62">
        <v>2.5703630244513089</v>
      </c>
      <c r="G147" s="62">
        <v>3.5561266951079986</v>
      </c>
      <c r="H147" s="62">
        <v>3.7385925544218321</v>
      </c>
      <c r="I147" s="63">
        <v>3.0184989260212478</v>
      </c>
      <c r="J147" s="63">
        <v>3.1589561900441785</v>
      </c>
      <c r="K147" s="63">
        <v>3.3728285437247867</v>
      </c>
      <c r="L147" s="63">
        <v>3.607144670102044</v>
      </c>
      <c r="M147" s="63">
        <v>3.8182010071824823</v>
      </c>
      <c r="N147" s="63">
        <v>4.0182020123206126</v>
      </c>
      <c r="P147" s="20" t="s">
        <v>19</v>
      </c>
      <c r="Q147" s="16">
        <v>0.38351145782884855</v>
      </c>
      <c r="R147" s="17">
        <v>5.1310280807723707E-2</v>
      </c>
      <c r="S147" s="79">
        <v>-0.19261088709677421</v>
      </c>
      <c r="T147" s="79">
        <v>4.6532156368221944E-2</v>
      </c>
      <c r="U147" s="79">
        <v>6.7703488372093279E-2</v>
      </c>
      <c r="V147" s="79">
        <v>6.9471698113207303E-2</v>
      </c>
      <c r="W147" s="79">
        <v>5.8510638297872175E-2</v>
      </c>
      <c r="X147" s="79">
        <v>5.2380952380952417E-2</v>
      </c>
    </row>
    <row r="148" spans="2:29" x14ac:dyDescent="0.15">
      <c r="B148" s="20" t="s">
        <v>18</v>
      </c>
      <c r="C148" s="62">
        <v>4.186993365188461</v>
      </c>
      <c r="D148" s="62">
        <v>1.0630796013396311</v>
      </c>
      <c r="E148" s="62">
        <v>1.9728807276450557</v>
      </c>
      <c r="F148" s="62">
        <v>3.1721504508409244</v>
      </c>
      <c r="G148" s="62">
        <v>4.0692669003514377</v>
      </c>
      <c r="H148" s="62">
        <v>4.8630585924710452</v>
      </c>
      <c r="I148" s="63">
        <v>5.3538698436953656</v>
      </c>
      <c r="J148" s="63">
        <v>5.5964551762813119</v>
      </c>
      <c r="K148" s="63">
        <v>5.8442714121807233</v>
      </c>
      <c r="L148" s="63">
        <v>6.1062523888891356</v>
      </c>
      <c r="M148" s="63">
        <v>6.3465535749805237</v>
      </c>
      <c r="N148" s="63">
        <v>6.5688001178863731</v>
      </c>
      <c r="P148" s="20" t="s">
        <v>18</v>
      </c>
      <c r="Q148" s="16">
        <v>0.28281018300146865</v>
      </c>
      <c r="R148" s="17">
        <v>0.19506995032718355</v>
      </c>
      <c r="S148" s="79">
        <v>0.10092645233273378</v>
      </c>
      <c r="T148" s="79">
        <v>4.5310278297409745E-2</v>
      </c>
      <c r="U148" s="79">
        <v>4.428092928353955E-2</v>
      </c>
      <c r="V148" s="79">
        <v>4.4826969562431263E-2</v>
      </c>
      <c r="W148" s="79">
        <v>3.9353300647814171E-2</v>
      </c>
      <c r="X148" s="79">
        <v>3.5018461639084286E-2</v>
      </c>
    </row>
    <row r="149" spans="2:29" x14ac:dyDescent="0.15">
      <c r="B149" s="54" t="s">
        <v>54</v>
      </c>
      <c r="C149" s="64">
        <v>3.3892449999999998</v>
      </c>
      <c r="D149" s="64">
        <v>0.68389100000000003</v>
      </c>
      <c r="E149" s="64">
        <v>0.94373994215419377</v>
      </c>
      <c r="F149" s="64">
        <v>2.3719728116683401</v>
      </c>
      <c r="G149" s="64">
        <v>3.0933599267437897</v>
      </c>
      <c r="H149" s="64">
        <v>3.7422157017271243</v>
      </c>
      <c r="I149" s="65">
        <v>4.0483942274725679</v>
      </c>
      <c r="J149" s="65">
        <v>4.2511950544654526</v>
      </c>
      <c r="K149" s="65">
        <v>4.4510805650776231</v>
      </c>
      <c r="L149" s="65">
        <v>4.6548302615877262</v>
      </c>
      <c r="M149" s="65">
        <v>4.8631747685958642</v>
      </c>
      <c r="N149" s="65">
        <v>5.0379729158970337</v>
      </c>
      <c r="P149" s="54" t="s">
        <v>54</v>
      </c>
      <c r="Q149" s="55">
        <v>0.30412958847030724</v>
      </c>
      <c r="R149" s="85">
        <v>0.20975760672840593</v>
      </c>
      <c r="S149" s="86">
        <v>8.1817444570107201E-2</v>
      </c>
      <c r="T149" s="86">
        <v>5.0094139947308047E-2</v>
      </c>
      <c r="U149" s="86">
        <v>4.701866370544705E-2</v>
      </c>
      <c r="V149" s="86">
        <v>4.5775333322134459E-2</v>
      </c>
      <c r="W149" s="86">
        <v>4.4758776432177294E-2</v>
      </c>
      <c r="X149" s="86">
        <v>3.5943217264149174E-2</v>
      </c>
    </row>
    <row r="150" spans="2:29" x14ac:dyDescent="0.15">
      <c r="B150" s="54" t="s">
        <v>55</v>
      </c>
      <c r="C150" s="64">
        <v>0.79774836518846159</v>
      </c>
      <c r="D150" s="64">
        <v>0.37918860133963095</v>
      </c>
      <c r="E150" s="64">
        <v>1.0291407854908619</v>
      </c>
      <c r="F150" s="64">
        <v>0.80017763917258444</v>
      </c>
      <c r="G150" s="64">
        <v>0.97590697360764767</v>
      </c>
      <c r="H150" s="64">
        <v>1.1208428907439201</v>
      </c>
      <c r="I150" s="65">
        <v>1.3054756162227974</v>
      </c>
      <c r="J150" s="65">
        <v>1.3452601218158593</v>
      </c>
      <c r="K150" s="65">
        <v>1.3931908471031005</v>
      </c>
      <c r="L150" s="65">
        <v>1.4514221273014087</v>
      </c>
      <c r="M150" s="65">
        <v>1.4833788063846598</v>
      </c>
      <c r="N150" s="65">
        <v>1.5308272019893396</v>
      </c>
      <c r="P150" s="54" t="s">
        <v>55</v>
      </c>
      <c r="Q150" s="55">
        <v>0.21961290322580673</v>
      </c>
      <c r="R150" s="85">
        <v>0.14851407055785848</v>
      </c>
      <c r="S150" s="86">
        <v>0.1647266775777414</v>
      </c>
      <c r="T150" s="86">
        <v>3.047510432111511E-2</v>
      </c>
      <c r="U150" s="86">
        <v>3.5629336297089864E-2</v>
      </c>
      <c r="V150" s="86">
        <v>4.1797059117485658E-2</v>
      </c>
      <c r="W150" s="86">
        <v>2.2017494760581569E-2</v>
      </c>
      <c r="X150" s="86">
        <v>3.198670184612018E-2</v>
      </c>
    </row>
    <row r="151" spans="2:29" x14ac:dyDescent="0.15">
      <c r="B151" s="20" t="s">
        <v>56</v>
      </c>
      <c r="C151" s="62">
        <v>7.5647961822698893</v>
      </c>
      <c r="D151" s="62">
        <v>1.2815764172938484</v>
      </c>
      <c r="E151" s="62">
        <v>1.5135197041171407</v>
      </c>
      <c r="F151" s="62">
        <v>4.3532057363556413</v>
      </c>
      <c r="G151" s="62">
        <v>4.5146751459000551</v>
      </c>
      <c r="H151" s="62">
        <v>5.4880128776279014</v>
      </c>
      <c r="I151" s="63">
        <v>5.3669179463065193</v>
      </c>
      <c r="J151" s="63">
        <v>5.7109292971107326</v>
      </c>
      <c r="K151" s="63">
        <v>6.0606108129706593</v>
      </c>
      <c r="L151" s="63">
        <v>6.4191176702407331</v>
      </c>
      <c r="M151" s="63">
        <v>6.6689143473817545</v>
      </c>
      <c r="N151" s="63">
        <v>6.9993640758765956</v>
      </c>
      <c r="P151" s="20" t="s">
        <v>56</v>
      </c>
      <c r="Q151" s="16">
        <v>3.7092069459503829E-2</v>
      </c>
      <c r="R151" s="17">
        <v>0.21559419011836778</v>
      </c>
      <c r="S151" s="79">
        <v>-2.2065351161078772E-2</v>
      </c>
      <c r="T151" s="79">
        <v>6.4098492700258136E-2</v>
      </c>
      <c r="U151" s="79">
        <v>6.1230230259869733E-2</v>
      </c>
      <c r="V151" s="79">
        <v>5.915358506486057E-2</v>
      </c>
      <c r="W151" s="79">
        <v>3.8914487936416498E-2</v>
      </c>
      <c r="X151" s="79">
        <v>4.9550753133390746E-2</v>
      </c>
    </row>
    <row r="152" spans="2:29" ht="4.25" customHeight="1" x14ac:dyDescent="0.15">
      <c r="C152" s="66"/>
      <c r="D152" s="66"/>
      <c r="E152" s="66"/>
      <c r="F152" s="66"/>
      <c r="G152" s="66"/>
      <c r="H152" s="66"/>
      <c r="I152" s="67"/>
      <c r="J152" s="67"/>
      <c r="K152" s="67"/>
      <c r="L152" s="67"/>
      <c r="M152" s="67"/>
      <c r="N152" s="67"/>
      <c r="Q152" s="36"/>
      <c r="R152" s="83"/>
      <c r="S152" s="84"/>
      <c r="T152" s="84"/>
      <c r="U152" s="84"/>
      <c r="V152" s="84"/>
      <c r="W152" s="84"/>
      <c r="X152" s="84"/>
    </row>
    <row r="153" spans="2:29" ht="4.25" customHeight="1" x14ac:dyDescent="0.15">
      <c r="B153" s="68"/>
      <c r="C153" s="69"/>
      <c r="D153" s="69"/>
      <c r="E153" s="69"/>
      <c r="F153" s="69"/>
      <c r="G153" s="69"/>
      <c r="H153" s="69"/>
      <c r="I153" s="70"/>
      <c r="J153" s="70"/>
      <c r="K153" s="70"/>
      <c r="L153" s="70"/>
      <c r="M153" s="70"/>
      <c r="N153" s="70"/>
      <c r="P153" s="68"/>
      <c r="R153" s="80"/>
      <c r="S153" s="81"/>
      <c r="T153" s="81"/>
      <c r="U153" s="81"/>
      <c r="V153" s="81"/>
      <c r="W153" s="81"/>
      <c r="X153" s="81"/>
    </row>
    <row r="154" spans="2:29" x14ac:dyDescent="0.15">
      <c r="B154" s="57" t="s">
        <v>4</v>
      </c>
      <c r="C154" s="62">
        <v>6.5425467671709967</v>
      </c>
      <c r="D154" s="62">
        <v>1.400225419671943</v>
      </c>
      <c r="E154" s="62">
        <v>0.77229638497572906</v>
      </c>
      <c r="F154" s="62">
        <v>2.9103122732302111</v>
      </c>
      <c r="G154" s="62">
        <v>4.0809312334060124</v>
      </c>
      <c r="H154" s="62">
        <v>5.8787734156319935</v>
      </c>
      <c r="I154" s="63">
        <v>5.7909466635134912</v>
      </c>
      <c r="J154" s="63">
        <v>6.0122826104979055</v>
      </c>
      <c r="K154" s="63">
        <v>6.5787242177387384</v>
      </c>
      <c r="L154" s="63">
        <v>6.9586397368699124</v>
      </c>
      <c r="M154" s="63">
        <v>7.396785709557431</v>
      </c>
      <c r="N154" s="63">
        <v>7.827054038767308</v>
      </c>
      <c r="P154" s="57" t="s">
        <v>4</v>
      </c>
      <c r="Q154" s="16">
        <v>0.40223139315442213</v>
      </c>
      <c r="R154" s="17">
        <v>0.44054704169211711</v>
      </c>
      <c r="S154" s="79">
        <v>-1.4939638919398757E-2</v>
      </c>
      <c r="T154" s="79">
        <v>3.8221030143303913E-2</v>
      </c>
      <c r="U154" s="79">
        <v>9.4214068755148483E-2</v>
      </c>
      <c r="V154" s="79">
        <v>5.7749117694700924E-2</v>
      </c>
      <c r="W154" s="79">
        <v>6.2964313322046328E-2</v>
      </c>
      <c r="X154" s="79">
        <v>5.8169635582915991E-2</v>
      </c>
    </row>
    <row r="155" spans="2:29" x14ac:dyDescent="0.15">
      <c r="B155" s="57" t="s">
        <v>5</v>
      </c>
      <c r="C155" s="62">
        <v>21.594269232828999</v>
      </c>
      <c r="D155" s="62">
        <v>3.8997334225033038</v>
      </c>
      <c r="E155" s="62">
        <v>4.401555447454041</v>
      </c>
      <c r="F155" s="62">
        <v>14.675684676544893</v>
      </c>
      <c r="G155" s="62">
        <v>18.467808185571201</v>
      </c>
      <c r="H155" s="62">
        <v>20.156538433933964</v>
      </c>
      <c r="I155" s="63">
        <v>19.623770675853521</v>
      </c>
      <c r="J155" s="63">
        <v>20.616728175772629</v>
      </c>
      <c r="K155" s="63">
        <v>21.821568218067085</v>
      </c>
      <c r="L155" s="63">
        <v>23.345539461813683</v>
      </c>
      <c r="M155" s="63">
        <v>24.75956488317097</v>
      </c>
      <c r="N155" s="63">
        <v>26.288819168812189</v>
      </c>
      <c r="P155" s="57" t="s">
        <v>5</v>
      </c>
      <c r="Q155" s="16">
        <v>0.25839499775346009</v>
      </c>
      <c r="R155" s="17">
        <v>9.1441833887042412E-2</v>
      </c>
      <c r="S155" s="79">
        <v>-2.6431510540694703E-2</v>
      </c>
      <c r="T155" s="79">
        <v>5.0599730109000651E-2</v>
      </c>
      <c r="U155" s="79">
        <v>5.8439924706884527E-2</v>
      </c>
      <c r="V155" s="79">
        <v>6.9837842473889244E-2</v>
      </c>
      <c r="W155" s="79">
        <v>6.0569404432491591E-2</v>
      </c>
      <c r="X155" s="79">
        <v>6.1764182563670555E-2</v>
      </c>
    </row>
    <row r="156" spans="2:29" ht="4.25" customHeight="1" x14ac:dyDescent="0.15">
      <c r="I156" s="8"/>
      <c r="J156" s="8"/>
      <c r="K156" s="8"/>
      <c r="L156" s="8"/>
      <c r="M156" s="8"/>
      <c r="N156" s="8"/>
      <c r="S156" s="8"/>
      <c r="T156" s="8"/>
      <c r="U156" s="8"/>
      <c r="V156" s="8"/>
      <c r="W156" s="8"/>
      <c r="X156" s="8"/>
    </row>
    <row r="157" spans="2:29" x14ac:dyDescent="0.15">
      <c r="B157" s="38" t="s">
        <v>62</v>
      </c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P157" s="38"/>
      <c r="Q157" s="71"/>
      <c r="R157" s="71"/>
      <c r="S157" s="71"/>
      <c r="T157" s="71"/>
      <c r="U157" s="71"/>
      <c r="V157" s="71"/>
      <c r="W157" s="71"/>
      <c r="X157" s="71"/>
      <c r="Y157" s="72"/>
      <c r="Z157" s="72"/>
      <c r="AA157" s="72"/>
      <c r="AB157" s="72"/>
      <c r="AC157" s="72"/>
    </row>
    <row r="159" spans="2:29" x14ac:dyDescent="0.15"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</row>
    <row r="160" spans="2:29" x14ac:dyDescent="0.15">
      <c r="B160" s="2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Q160" s="55"/>
      <c r="R160" s="55"/>
      <c r="S160" s="55"/>
      <c r="T160" s="55"/>
      <c r="U160" s="55"/>
      <c r="V160" s="55"/>
      <c r="W160" s="55"/>
      <c r="X160" s="55"/>
    </row>
    <row r="161" spans="2:24" x14ac:dyDescent="0.15">
      <c r="B161" s="54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Q161" s="55"/>
      <c r="R161" s="55"/>
      <c r="S161" s="55"/>
      <c r="T161" s="55"/>
      <c r="U161" s="55"/>
      <c r="V161" s="55"/>
      <c r="W161" s="55"/>
      <c r="X161" s="55"/>
    </row>
    <row r="162" spans="2:24" x14ac:dyDescent="0.15">
      <c r="B162" s="54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Q162" s="55"/>
      <c r="R162" s="55"/>
      <c r="S162" s="55"/>
      <c r="T162" s="55"/>
      <c r="U162" s="55"/>
      <c r="V162" s="55"/>
      <c r="W162" s="55"/>
      <c r="X162" s="55"/>
    </row>
  </sheetData>
  <mergeCells count="6">
    <mergeCell ref="P2:W2"/>
    <mergeCell ref="B38:B39"/>
    <mergeCell ref="P38:P39"/>
    <mergeCell ref="P125:R125"/>
    <mergeCell ref="P96:W96"/>
    <mergeCell ref="P51:W5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2A54-E713-4466-BA21-0F36D511A0EE}">
  <dimension ref="A1:BI172"/>
  <sheetViews>
    <sheetView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C7" sqref="C7"/>
    </sheetView>
  </sheetViews>
  <sheetFormatPr baseColWidth="10" defaultColWidth="8.75" defaultRowHeight="13" x14ac:dyDescent="0.15"/>
  <cols>
    <col min="1" max="1" width="4.75" style="2" customWidth="1"/>
    <col min="2" max="2" width="25.75" style="2" customWidth="1"/>
    <col min="3" max="9" width="9.75" style="2" customWidth="1"/>
    <col min="10" max="10" width="2.75" style="2" customWidth="1"/>
    <col min="11" max="17" width="8.75" style="2" customWidth="1"/>
    <col min="18" max="24" width="9.75" style="2" customWidth="1"/>
    <col min="25" max="25" width="2.75" style="2" customWidth="1"/>
    <col min="26" max="39" width="8.75" style="2" customWidth="1"/>
    <col min="40" max="40" width="4.75" style="2" customWidth="1"/>
    <col min="41" max="47" width="8.75" style="2" customWidth="1"/>
    <col min="48" max="16384" width="8.75" style="2"/>
  </cols>
  <sheetData>
    <row r="1" spans="2:47" x14ac:dyDescent="0.15">
      <c r="C1" s="89"/>
      <c r="D1" s="89"/>
      <c r="E1" s="89"/>
      <c r="F1" s="89"/>
      <c r="G1" s="89"/>
      <c r="H1" s="89"/>
      <c r="I1" s="89"/>
      <c r="R1" s="89"/>
      <c r="S1" s="89"/>
      <c r="T1" s="89"/>
      <c r="U1" s="89"/>
      <c r="V1" s="89"/>
      <c r="W1" s="89"/>
      <c r="X1" s="89"/>
      <c r="AG1" s="89"/>
      <c r="AH1" s="89"/>
      <c r="AI1" s="89"/>
      <c r="AJ1" s="89"/>
      <c r="AK1" s="89"/>
      <c r="AL1" s="89"/>
      <c r="AM1" s="89"/>
      <c r="AO1" s="89"/>
      <c r="AP1" s="89"/>
      <c r="AQ1" s="89"/>
      <c r="AR1" s="89"/>
      <c r="AS1" s="89"/>
      <c r="AT1" s="89"/>
      <c r="AU1" s="89"/>
    </row>
    <row r="2" spans="2:47" x14ac:dyDescent="0.15">
      <c r="C2" s="90"/>
      <c r="D2" s="91" t="s">
        <v>70</v>
      </c>
      <c r="E2" s="91"/>
      <c r="F2" s="91"/>
      <c r="G2" s="91"/>
      <c r="H2" s="91"/>
      <c r="I2" s="91"/>
      <c r="J2" s="92"/>
      <c r="K2" s="92"/>
      <c r="L2" s="92"/>
      <c r="M2" s="92"/>
      <c r="N2" s="92"/>
      <c r="O2" s="92"/>
      <c r="P2" s="92"/>
      <c r="R2" s="93"/>
      <c r="S2" s="94" t="s">
        <v>71</v>
      </c>
      <c r="T2" s="94"/>
      <c r="U2" s="94"/>
      <c r="V2" s="94"/>
      <c r="W2" s="94"/>
      <c r="X2" s="94"/>
      <c r="Y2" s="95"/>
      <c r="Z2" s="95"/>
      <c r="AA2" s="95"/>
      <c r="AB2" s="95"/>
      <c r="AC2" s="95"/>
      <c r="AD2" s="95"/>
      <c r="AE2" s="95"/>
      <c r="AG2" s="96"/>
      <c r="AH2" s="97" t="s">
        <v>72</v>
      </c>
      <c r="AI2" s="97"/>
      <c r="AJ2" s="97"/>
      <c r="AK2" s="97"/>
      <c r="AL2" s="97"/>
      <c r="AM2" s="97"/>
      <c r="AO2" s="96"/>
      <c r="AP2" s="97" t="s">
        <v>73</v>
      </c>
      <c r="AQ2" s="97"/>
      <c r="AR2" s="97"/>
      <c r="AS2" s="97"/>
      <c r="AT2" s="97"/>
      <c r="AU2" s="97"/>
    </row>
    <row r="3" spans="2:47" ht="16" x14ac:dyDescent="0.2">
      <c r="B3" s="4" t="s">
        <v>0</v>
      </c>
      <c r="C3" s="75"/>
      <c r="D3" s="3"/>
      <c r="K3" s="1"/>
      <c r="L3" s="1"/>
      <c r="M3" s="1"/>
      <c r="N3" s="1"/>
      <c r="O3" s="1"/>
      <c r="P3" s="1"/>
      <c r="Q3" s="1"/>
      <c r="R3" s="75"/>
      <c r="S3" s="3"/>
      <c r="Z3" s="1"/>
      <c r="AA3" s="1"/>
      <c r="AB3" s="1"/>
      <c r="AC3" s="1"/>
      <c r="AD3" s="1"/>
      <c r="AE3" s="1"/>
      <c r="AG3" s="75"/>
      <c r="AH3" s="3"/>
      <c r="AO3" s="75"/>
      <c r="AP3" s="3"/>
    </row>
    <row r="4" spans="2:47" ht="4" customHeight="1" x14ac:dyDescent="0.2">
      <c r="B4" s="4"/>
    </row>
    <row r="5" spans="2:47" x14ac:dyDescent="0.15">
      <c r="C5" s="5">
        <v>2024</v>
      </c>
      <c r="D5" s="6">
        <v>2025</v>
      </c>
      <c r="E5" s="6">
        <v>2026</v>
      </c>
      <c r="F5" s="6">
        <v>2027</v>
      </c>
      <c r="G5" s="6">
        <v>2028</v>
      </c>
      <c r="H5" s="6">
        <v>2029</v>
      </c>
      <c r="I5" s="6">
        <v>2030</v>
      </c>
      <c r="K5" s="5">
        <v>2025</v>
      </c>
      <c r="L5" s="5">
        <v>2026</v>
      </c>
      <c r="M5" s="5">
        <v>2027</v>
      </c>
      <c r="N5" s="5">
        <v>2028</v>
      </c>
      <c r="O5" s="5">
        <v>2029</v>
      </c>
      <c r="P5" s="5">
        <v>2030</v>
      </c>
      <c r="Q5" s="7"/>
      <c r="R5" s="5">
        <v>2024</v>
      </c>
      <c r="S5" s="6">
        <v>2025</v>
      </c>
      <c r="T5" s="6">
        <v>2026</v>
      </c>
      <c r="U5" s="6">
        <v>2027</v>
      </c>
      <c r="V5" s="6">
        <v>2028</v>
      </c>
      <c r="W5" s="6">
        <v>2029</v>
      </c>
      <c r="X5" s="6">
        <v>2030</v>
      </c>
      <c r="Z5" s="5">
        <v>2025</v>
      </c>
      <c r="AA5" s="5">
        <v>2026</v>
      </c>
      <c r="AB5" s="5">
        <v>2027</v>
      </c>
      <c r="AC5" s="5">
        <v>2028</v>
      </c>
      <c r="AD5" s="5">
        <v>2029</v>
      </c>
      <c r="AE5" s="5">
        <v>2030</v>
      </c>
      <c r="AG5" s="5">
        <v>2024</v>
      </c>
      <c r="AH5" s="6">
        <v>2025</v>
      </c>
      <c r="AI5" s="6">
        <v>2026</v>
      </c>
      <c r="AJ5" s="6">
        <v>2027</v>
      </c>
      <c r="AK5" s="6">
        <v>2028</v>
      </c>
      <c r="AL5" s="6">
        <v>2029</v>
      </c>
      <c r="AM5" s="6">
        <v>2030</v>
      </c>
      <c r="AO5" s="5">
        <v>2024</v>
      </c>
      <c r="AP5" s="5">
        <v>2025</v>
      </c>
      <c r="AQ5" s="5">
        <v>2026</v>
      </c>
      <c r="AR5" s="5">
        <v>2027</v>
      </c>
      <c r="AS5" s="5">
        <v>2028</v>
      </c>
      <c r="AT5" s="5">
        <v>2029</v>
      </c>
      <c r="AU5" s="5">
        <v>2030</v>
      </c>
    </row>
    <row r="6" spans="2:47" ht="4" customHeight="1" x14ac:dyDescent="0.15">
      <c r="D6" s="8"/>
      <c r="E6" s="8"/>
      <c r="F6" s="8"/>
      <c r="G6" s="8"/>
      <c r="H6" s="8"/>
      <c r="I6" s="8"/>
      <c r="S6" s="8"/>
      <c r="T6" s="8"/>
      <c r="U6" s="8"/>
      <c r="V6" s="8"/>
      <c r="W6" s="8"/>
      <c r="X6" s="8"/>
      <c r="AG6" s="13"/>
      <c r="AH6" s="8"/>
      <c r="AI6" s="8"/>
      <c r="AJ6" s="8"/>
      <c r="AK6" s="8"/>
      <c r="AL6" s="8"/>
      <c r="AM6" s="8"/>
      <c r="AO6" s="13"/>
    </row>
    <row r="7" spans="2:47" x14ac:dyDescent="0.15">
      <c r="B7" s="7" t="s">
        <v>3</v>
      </c>
      <c r="C7" s="9">
        <v>269.50541943468352</v>
      </c>
      <c r="D7" s="10">
        <v>271.40345634632916</v>
      </c>
      <c r="E7" s="10">
        <v>275.4887540802066</v>
      </c>
      <c r="F7" s="10">
        <v>282.48908170250888</v>
      </c>
      <c r="G7" s="10">
        <v>289.155996057864</v>
      </c>
      <c r="H7" s="10">
        <v>296.00454248454577</v>
      </c>
      <c r="I7" s="10">
        <v>304.31471958775847</v>
      </c>
      <c r="K7" s="44">
        <f>D7/C7-1</f>
        <v>7.0426669549985554E-3</v>
      </c>
      <c r="L7" s="44">
        <f t="shared" ref="L7:P22" si="0">E7/D7-1</f>
        <v>1.5052489709874273E-2</v>
      </c>
      <c r="M7" s="44">
        <f t="shared" si="0"/>
        <v>2.5410574909581207E-2</v>
      </c>
      <c r="N7" s="44">
        <f t="shared" si="0"/>
        <v>2.3600608969291281E-2</v>
      </c>
      <c r="O7" s="44">
        <f t="shared" si="0"/>
        <v>2.3684608031822707E-2</v>
      </c>
      <c r="P7" s="44">
        <f t="shared" si="0"/>
        <v>2.807449180833621E-2</v>
      </c>
      <c r="Q7" s="113"/>
      <c r="R7" s="9">
        <v>269.50541943468352</v>
      </c>
      <c r="S7" s="10">
        <v>271.68736457923302</v>
      </c>
      <c r="T7" s="10">
        <v>276.58615723770606</v>
      </c>
      <c r="U7" s="10">
        <v>283.32400331744674</v>
      </c>
      <c r="V7" s="10">
        <v>290.05850012545596</v>
      </c>
      <c r="W7" s="10">
        <v>296.74472076138454</v>
      </c>
      <c r="X7" s="10">
        <v>304.2657713705936</v>
      </c>
      <c r="Z7" s="44">
        <f>S7/R7-1</f>
        <v>8.0961086019211148E-3</v>
      </c>
      <c r="AA7" s="44">
        <f t="shared" ref="AA7:AE9" si="1">T7/S7-1</f>
        <v>1.8030991857350021E-2</v>
      </c>
      <c r="AB7" s="44">
        <f t="shared" si="1"/>
        <v>2.4360749456994624E-2</v>
      </c>
      <c r="AC7" s="44">
        <f t="shared" si="1"/>
        <v>2.3769594983675368E-2</v>
      </c>
      <c r="AD7" s="44">
        <f t="shared" si="1"/>
        <v>2.3051283217132568E-2</v>
      </c>
      <c r="AE7" s="44">
        <f t="shared" si="1"/>
        <v>2.5345187573722061E-2</v>
      </c>
      <c r="AG7" s="9">
        <f>C7-R7</f>
        <v>0</v>
      </c>
      <c r="AH7" s="10">
        <f t="shared" ref="AH7:AM22" si="2">D7-S7</f>
        <v>-0.2839082329038547</v>
      </c>
      <c r="AI7" s="10">
        <f t="shared" si="2"/>
        <v>-1.0974031574994569</v>
      </c>
      <c r="AJ7" s="10">
        <f t="shared" si="2"/>
        <v>-0.83492161493785488</v>
      </c>
      <c r="AK7" s="10">
        <f t="shared" si="2"/>
        <v>-0.90250406759196267</v>
      </c>
      <c r="AL7" s="10">
        <f t="shared" si="2"/>
        <v>-0.74017827683877613</v>
      </c>
      <c r="AM7" s="10">
        <f t="shared" si="2"/>
        <v>4.8948217164877406E-2</v>
      </c>
      <c r="AO7" s="44">
        <f>C7/R7-1</f>
        <v>0</v>
      </c>
      <c r="AP7" s="44">
        <f t="shared" ref="AP7:AU22" si="3">D7/S7-1</f>
        <v>-1.0449813643101935E-3</v>
      </c>
      <c r="AQ7" s="44">
        <f t="shared" si="3"/>
        <v>-3.9676720211139216E-3</v>
      </c>
      <c r="AR7" s="44">
        <f t="shared" si="3"/>
        <v>-2.9468792095330709E-3</v>
      </c>
      <c r="AS7" s="44">
        <f t="shared" si="3"/>
        <v>-3.1114553347052487E-3</v>
      </c>
      <c r="AT7" s="44">
        <f t="shared" si="3"/>
        <v>-2.4943266890802285E-3</v>
      </c>
      <c r="AU7" s="44">
        <f t="shared" si="3"/>
        <v>1.6087322916535918E-4</v>
      </c>
    </row>
    <row r="8" spans="2:47" x14ac:dyDescent="0.15">
      <c r="B8" s="14" t="s">
        <v>4</v>
      </c>
      <c r="C8" s="13">
        <v>44.199676439321358</v>
      </c>
      <c r="D8" s="15">
        <v>44.320416761366843</v>
      </c>
      <c r="E8" s="15">
        <v>44.742452186960911</v>
      </c>
      <c r="F8" s="15">
        <v>46.522557345988574</v>
      </c>
      <c r="G8" s="15">
        <v>47.37025844196927</v>
      </c>
      <c r="H8" s="15">
        <v>48.745880107821009</v>
      </c>
      <c r="I8" s="15">
        <v>50.349850553260765</v>
      </c>
      <c r="K8" s="17">
        <f t="shared" ref="K8:P46" si="4">D8/C8-1</f>
        <v>2.7317014913275095E-3</v>
      </c>
      <c r="L8" s="17">
        <f t="shared" si="0"/>
        <v>9.5223704205313897E-3</v>
      </c>
      <c r="M8" s="17">
        <f t="shared" si="0"/>
        <v>3.9785596721192418E-2</v>
      </c>
      <c r="N8" s="17">
        <f t="shared" si="0"/>
        <v>1.8221291870873291E-2</v>
      </c>
      <c r="O8" s="17">
        <f t="shared" si="0"/>
        <v>2.9039775401203283E-2</v>
      </c>
      <c r="P8" s="17">
        <f t="shared" si="0"/>
        <v>3.2904738654670584E-2</v>
      </c>
      <c r="Q8" s="114"/>
      <c r="R8" s="13">
        <v>44.199676439321358</v>
      </c>
      <c r="S8" s="15">
        <v>44.354503636896006</v>
      </c>
      <c r="T8" s="15">
        <v>44.908479083155164</v>
      </c>
      <c r="U8" s="15">
        <v>46.480794958410968</v>
      </c>
      <c r="V8" s="15">
        <v>47.337200548919817</v>
      </c>
      <c r="W8" s="15">
        <v>48.683874507945774</v>
      </c>
      <c r="X8" s="15">
        <v>50.178469110119558</v>
      </c>
      <c r="Z8" s="17">
        <f t="shared" ref="Z8:Z9" si="5">S8/R8-1</f>
        <v>3.502903415756764E-3</v>
      </c>
      <c r="AA8" s="17">
        <f t="shared" si="1"/>
        <v>1.2489722594896557E-2</v>
      </c>
      <c r="AB8" s="17">
        <f t="shared" si="1"/>
        <v>3.501155922792254E-2</v>
      </c>
      <c r="AC8" s="17">
        <f t="shared" si="1"/>
        <v>1.8424934239509527E-2</v>
      </c>
      <c r="AD8" s="17">
        <f t="shared" si="1"/>
        <v>2.844853399461722E-2</v>
      </c>
      <c r="AE8" s="17">
        <f t="shared" si="1"/>
        <v>3.0699992908942653E-2</v>
      </c>
      <c r="AG8" s="13">
        <f t="shared" ref="AG8:AM46" si="6">C8-R8</f>
        <v>0</v>
      </c>
      <c r="AH8" s="15">
        <f t="shared" si="2"/>
        <v>-3.4086875529162342E-2</v>
      </c>
      <c r="AI8" s="15">
        <f t="shared" si="2"/>
        <v>-0.16602689619425348</v>
      </c>
      <c r="AJ8" s="15">
        <f t="shared" si="2"/>
        <v>4.1762387577605864E-2</v>
      </c>
      <c r="AK8" s="15">
        <f t="shared" si="2"/>
        <v>3.3057893049452503E-2</v>
      </c>
      <c r="AL8" s="15">
        <f t="shared" si="2"/>
        <v>6.2005599875234907E-2</v>
      </c>
      <c r="AM8" s="15">
        <f t="shared" si="2"/>
        <v>0.17138144314120751</v>
      </c>
      <c r="AO8" s="17">
        <f t="shared" ref="AO8:AU46" si="7">C8/R8-1</f>
        <v>0</v>
      </c>
      <c r="AP8" s="17">
        <f t="shared" si="3"/>
        <v>-7.6850990844612443E-4</v>
      </c>
      <c r="AQ8" s="17">
        <f t="shared" si="3"/>
        <v>-3.6970055451405193E-3</v>
      </c>
      <c r="AR8" s="17">
        <f t="shared" si="3"/>
        <v>8.9848694745797708E-4</v>
      </c>
      <c r="AS8" s="17">
        <f t="shared" si="3"/>
        <v>6.983491348477866E-4</v>
      </c>
      <c r="AT8" s="17">
        <f t="shared" si="3"/>
        <v>1.273637328621291E-3</v>
      </c>
      <c r="AU8" s="17">
        <f t="shared" si="3"/>
        <v>3.4154378597142099E-3</v>
      </c>
    </row>
    <row r="9" spans="2:47" x14ac:dyDescent="0.15">
      <c r="B9" s="14" t="s">
        <v>5</v>
      </c>
      <c r="C9" s="13">
        <v>225.30574299536212</v>
      </c>
      <c r="D9" s="15">
        <v>227.08303958496234</v>
      </c>
      <c r="E9" s="15">
        <v>230.74630189324571</v>
      </c>
      <c r="F9" s="15">
        <v>235.96652435652032</v>
      </c>
      <c r="G9" s="15">
        <v>241.78573761589476</v>
      </c>
      <c r="H9" s="15">
        <v>247.25866237672477</v>
      </c>
      <c r="I9" s="15">
        <v>253.96486903449772</v>
      </c>
      <c r="K9" s="17">
        <f t="shared" si="4"/>
        <v>7.8883767718109787E-3</v>
      </c>
      <c r="L9" s="17">
        <f t="shared" si="0"/>
        <v>1.6131818188529934E-2</v>
      </c>
      <c r="M9" s="17">
        <f t="shared" si="0"/>
        <v>2.2623211815068434E-2</v>
      </c>
      <c r="N9" s="17">
        <f t="shared" si="0"/>
        <v>2.4661181391061326E-2</v>
      </c>
      <c r="O9" s="17">
        <f t="shared" si="0"/>
        <v>2.2635432572637448E-2</v>
      </c>
      <c r="P9" s="17">
        <f t="shared" si="0"/>
        <v>2.712223140459824E-2</v>
      </c>
      <c r="Q9" s="114"/>
      <c r="R9" s="13">
        <v>225.30574299536212</v>
      </c>
      <c r="S9" s="15">
        <v>227.33286094233699</v>
      </c>
      <c r="T9" s="15">
        <v>231.67767815455093</v>
      </c>
      <c r="U9" s="15">
        <v>236.8432083590358</v>
      </c>
      <c r="V9" s="15">
        <v>242.72129957653613</v>
      </c>
      <c r="W9" s="15">
        <v>248.06084625343877</v>
      </c>
      <c r="X9" s="15">
        <v>254.08730226047408</v>
      </c>
      <c r="Z9" s="17">
        <f t="shared" si="5"/>
        <v>8.997187200046719E-3</v>
      </c>
      <c r="AA9" s="17">
        <f t="shared" si="1"/>
        <v>1.911213888834129E-2</v>
      </c>
      <c r="AB9" s="17">
        <f t="shared" si="1"/>
        <v>2.2296192907453882E-2</v>
      </c>
      <c r="AC9" s="17">
        <f t="shared" si="1"/>
        <v>2.48184917702583E-2</v>
      </c>
      <c r="AD9" s="17">
        <f t="shared" si="1"/>
        <v>2.199867373081088E-2</v>
      </c>
      <c r="AE9" s="17">
        <f t="shared" si="1"/>
        <v>2.4294265290372374E-2</v>
      </c>
      <c r="AG9" s="13">
        <f t="shared" si="6"/>
        <v>0</v>
      </c>
      <c r="AH9" s="15">
        <f t="shared" si="2"/>
        <v>-0.24982135737465683</v>
      </c>
      <c r="AI9" s="15">
        <f t="shared" si="2"/>
        <v>-0.93137626130521767</v>
      </c>
      <c r="AJ9" s="15">
        <f t="shared" si="2"/>
        <v>-0.87668400251547496</v>
      </c>
      <c r="AK9" s="15">
        <f t="shared" si="2"/>
        <v>-0.93556196064136543</v>
      </c>
      <c r="AL9" s="15">
        <f t="shared" si="2"/>
        <v>-0.80218387671399682</v>
      </c>
      <c r="AM9" s="15">
        <f t="shared" si="2"/>
        <v>-0.12243322597635142</v>
      </c>
      <c r="AO9" s="17">
        <f t="shared" si="7"/>
        <v>0</v>
      </c>
      <c r="AP9" s="17">
        <f t="shared" si="3"/>
        <v>-1.0989232103933988E-3</v>
      </c>
      <c r="AQ9" s="17">
        <f t="shared" si="3"/>
        <v>-4.0201381018843962E-3</v>
      </c>
      <c r="AR9" s="17">
        <f t="shared" si="3"/>
        <v>-3.7015374373179366E-3</v>
      </c>
      <c r="AS9" s="17">
        <f t="shared" si="3"/>
        <v>-3.8544699714182507E-3</v>
      </c>
      <c r="AT9" s="17">
        <f t="shared" si="3"/>
        <v>-3.2338189957411556E-3</v>
      </c>
      <c r="AU9" s="17">
        <f t="shared" si="3"/>
        <v>-4.8185495649377685E-4</v>
      </c>
    </row>
    <row r="10" spans="2:47" ht="4" customHeight="1" x14ac:dyDescent="0.15">
      <c r="C10" s="18"/>
      <c r="D10" s="19"/>
      <c r="E10" s="19"/>
      <c r="F10" s="19"/>
      <c r="G10" s="19"/>
      <c r="H10" s="19"/>
      <c r="I10" s="19"/>
      <c r="K10" s="17"/>
      <c r="L10" s="17"/>
      <c r="M10" s="17"/>
      <c r="N10" s="17"/>
      <c r="O10" s="17"/>
      <c r="P10" s="17"/>
      <c r="Q10" s="115"/>
      <c r="R10" s="18"/>
      <c r="S10" s="19"/>
      <c r="T10" s="19"/>
      <c r="U10" s="19"/>
      <c r="V10" s="19"/>
      <c r="W10" s="19"/>
      <c r="X10" s="19"/>
      <c r="Z10" s="17"/>
      <c r="AA10" s="17"/>
      <c r="AB10" s="17"/>
      <c r="AC10" s="17"/>
      <c r="AD10" s="17"/>
      <c r="AE10" s="17"/>
      <c r="AG10" s="18"/>
      <c r="AH10" s="19"/>
      <c r="AI10" s="19"/>
      <c r="AJ10" s="19"/>
      <c r="AK10" s="19"/>
      <c r="AL10" s="19"/>
      <c r="AM10" s="19"/>
      <c r="AO10" s="17"/>
      <c r="AP10" s="17"/>
      <c r="AQ10" s="17"/>
      <c r="AR10" s="17"/>
      <c r="AS10" s="17"/>
      <c r="AT10" s="17"/>
      <c r="AU10" s="17"/>
    </row>
    <row r="11" spans="2:47" x14ac:dyDescent="0.15">
      <c r="B11" s="20" t="s">
        <v>6</v>
      </c>
      <c r="C11" s="18"/>
      <c r="D11" s="19"/>
      <c r="E11" s="19"/>
      <c r="F11" s="19"/>
      <c r="G11" s="19"/>
      <c r="H11" s="19"/>
      <c r="I11" s="19"/>
      <c r="K11" s="17"/>
      <c r="L11" s="17"/>
      <c r="M11" s="17"/>
      <c r="N11" s="17"/>
      <c r="O11" s="17"/>
      <c r="P11" s="17"/>
      <c r="Q11" s="115"/>
      <c r="R11" s="18"/>
      <c r="S11" s="19"/>
      <c r="T11" s="19"/>
      <c r="U11" s="19"/>
      <c r="V11" s="19"/>
      <c r="W11" s="19"/>
      <c r="X11" s="19"/>
      <c r="Z11" s="17"/>
      <c r="AA11" s="17"/>
      <c r="AB11" s="17"/>
      <c r="AC11" s="17"/>
      <c r="AD11" s="17"/>
      <c r="AE11" s="17"/>
      <c r="AG11" s="18"/>
      <c r="AH11" s="19"/>
      <c r="AI11" s="19"/>
      <c r="AJ11" s="19"/>
      <c r="AK11" s="19"/>
      <c r="AL11" s="19"/>
      <c r="AM11" s="19"/>
      <c r="AO11" s="17"/>
      <c r="AP11" s="17"/>
      <c r="AQ11" s="17"/>
      <c r="AR11" s="17"/>
      <c r="AS11" s="17"/>
      <c r="AT11" s="17"/>
      <c r="AU11" s="17"/>
    </row>
    <row r="12" spans="2:47" x14ac:dyDescent="0.15">
      <c r="B12" s="21" t="s">
        <v>7</v>
      </c>
      <c r="C12" s="9">
        <v>252.98901310126922</v>
      </c>
      <c r="D12" s="10">
        <v>254.99636746355526</v>
      </c>
      <c r="E12" s="10">
        <v>258.68456224606894</v>
      </c>
      <c r="F12" s="10">
        <v>265.03272403230005</v>
      </c>
      <c r="G12" s="10">
        <v>270.96917467107858</v>
      </c>
      <c r="H12" s="10">
        <v>277.08751456439626</v>
      </c>
      <c r="I12" s="10">
        <v>284.66331857754778</v>
      </c>
      <c r="K12" s="44">
        <f t="shared" si="4"/>
        <v>7.9345515351787466E-3</v>
      </c>
      <c r="L12" s="44">
        <f t="shared" si="0"/>
        <v>1.4463714990139209E-2</v>
      </c>
      <c r="M12" s="44">
        <f t="shared" si="0"/>
        <v>2.4540164790323171E-2</v>
      </c>
      <c r="N12" s="44">
        <f t="shared" si="0"/>
        <v>2.23989345483806E-2</v>
      </c>
      <c r="O12" s="44">
        <f t="shared" si="0"/>
        <v>2.25794683131193E-2</v>
      </c>
      <c r="P12" s="44">
        <f t="shared" si="0"/>
        <v>2.7340834988762719E-2</v>
      </c>
      <c r="Q12" s="113"/>
      <c r="R12" s="9">
        <v>252.98901310126922</v>
      </c>
      <c r="S12" s="10">
        <v>255.49945879511253</v>
      </c>
      <c r="T12" s="10">
        <v>259.95592957412094</v>
      </c>
      <c r="U12" s="10">
        <v>266.03478738861668</v>
      </c>
      <c r="V12" s="10">
        <v>272.00069510987021</v>
      </c>
      <c r="W12" s="10">
        <v>277.97956058421681</v>
      </c>
      <c r="X12" s="10">
        <v>284.7431995664013</v>
      </c>
      <c r="Z12" s="44">
        <f t="shared" ref="Z12:AE15" si="8">S12/R12-1</f>
        <v>9.9231411794091784E-3</v>
      </c>
      <c r="AA12" s="44">
        <f t="shared" si="8"/>
        <v>1.7442192637214582E-2</v>
      </c>
      <c r="AB12" s="44">
        <f t="shared" si="8"/>
        <v>2.3384186021278897E-2</v>
      </c>
      <c r="AC12" s="44">
        <f t="shared" si="8"/>
        <v>2.2425291744040621E-2</v>
      </c>
      <c r="AD12" s="44">
        <f t="shared" si="8"/>
        <v>2.1981066893713486E-2</v>
      </c>
      <c r="AE12" s="44">
        <f t="shared" si="8"/>
        <v>2.4331425547869934E-2</v>
      </c>
      <c r="AG12" s="9">
        <f t="shared" si="6"/>
        <v>0</v>
      </c>
      <c r="AH12" s="10">
        <f t="shared" si="2"/>
        <v>-0.50309133155727181</v>
      </c>
      <c r="AI12" s="10">
        <f t="shared" si="2"/>
        <v>-1.2713673280520084</v>
      </c>
      <c r="AJ12" s="10">
        <f t="shared" si="2"/>
        <v>-1.0020633563166257</v>
      </c>
      <c r="AK12" s="10">
        <f t="shared" si="2"/>
        <v>-1.031520438791631</v>
      </c>
      <c r="AL12" s="10">
        <f t="shared" si="2"/>
        <v>-0.89204601982055465</v>
      </c>
      <c r="AM12" s="10">
        <f t="shared" si="2"/>
        <v>-7.9880988853517465E-2</v>
      </c>
      <c r="AO12" s="44">
        <f t="shared" si="7"/>
        <v>0</v>
      </c>
      <c r="AP12" s="44">
        <f t="shared" si="3"/>
        <v>-1.9690504783445029E-3</v>
      </c>
      <c r="AQ12" s="44">
        <f t="shared" si="3"/>
        <v>-4.8907033208853701E-3</v>
      </c>
      <c r="AR12" s="44">
        <f t="shared" si="3"/>
        <v>-3.7666628719981166E-3</v>
      </c>
      <c r="AS12" s="44">
        <f t="shared" si="3"/>
        <v>-3.7923448628502943E-3</v>
      </c>
      <c r="AT12" s="44">
        <f t="shared" si="3"/>
        <v>-3.2090345705482193E-3</v>
      </c>
      <c r="AU12" s="44">
        <f t="shared" si="3"/>
        <v>-2.8053695040008986E-4</v>
      </c>
    </row>
    <row r="13" spans="2:47" x14ac:dyDescent="0.15">
      <c r="B13" s="22" t="s">
        <v>4</v>
      </c>
      <c r="C13" s="13">
        <v>40.73123110930436</v>
      </c>
      <c r="D13" s="15">
        <v>40.840473209330497</v>
      </c>
      <c r="E13" s="15">
        <v>41.21392478982051</v>
      </c>
      <c r="F13" s="15">
        <v>42.893743504028123</v>
      </c>
      <c r="G13" s="15">
        <v>43.627403000296169</v>
      </c>
      <c r="H13" s="15">
        <v>44.844961591925482</v>
      </c>
      <c r="I13" s="15">
        <v>46.30965254517838</v>
      </c>
      <c r="K13" s="17">
        <f t="shared" si="4"/>
        <v>2.6820230337005757E-3</v>
      </c>
      <c r="L13" s="17">
        <f t="shared" si="0"/>
        <v>9.1441540987016179E-3</v>
      </c>
      <c r="M13" s="17">
        <f t="shared" si="0"/>
        <v>4.075852330915386E-2</v>
      </c>
      <c r="N13" s="17">
        <f t="shared" si="0"/>
        <v>1.7104114407714199E-2</v>
      </c>
      <c r="O13" s="17">
        <f t="shared" si="0"/>
        <v>2.7908115264643429E-2</v>
      </c>
      <c r="P13" s="17">
        <f t="shared" si="0"/>
        <v>3.2661215468999805E-2</v>
      </c>
      <c r="Q13" s="114"/>
      <c r="R13" s="13">
        <v>40.73123110930436</v>
      </c>
      <c r="S13" s="15">
        <v>40.921048820084053</v>
      </c>
      <c r="T13" s="15">
        <v>41.41648050858322</v>
      </c>
      <c r="U13" s="15">
        <v>42.832270825533556</v>
      </c>
      <c r="V13" s="15">
        <v>43.564589096740946</v>
      </c>
      <c r="W13" s="15">
        <v>44.755642619213887</v>
      </c>
      <c r="X13" s="15">
        <v>46.083509793811345</v>
      </c>
      <c r="Z13" s="17">
        <f t="shared" si="8"/>
        <v>4.6602497791021769E-3</v>
      </c>
      <c r="AA13" s="17">
        <f t="shared" si="8"/>
        <v>1.210701345113141E-2</v>
      </c>
      <c r="AB13" s="17">
        <f t="shared" si="8"/>
        <v>3.4184225689020797E-2</v>
      </c>
      <c r="AC13" s="17">
        <f t="shared" si="8"/>
        <v>1.7097348730126916E-2</v>
      </c>
      <c r="AD13" s="17">
        <f t="shared" si="8"/>
        <v>2.7339946207871835E-2</v>
      </c>
      <c r="AE13" s="17">
        <f t="shared" si="8"/>
        <v>2.9669268429348694E-2</v>
      </c>
      <c r="AG13" s="13">
        <f t="shared" si="6"/>
        <v>0</v>
      </c>
      <c r="AH13" s="15">
        <f t="shared" si="2"/>
        <v>-8.0575610753555793E-2</v>
      </c>
      <c r="AI13" s="15">
        <f t="shared" si="2"/>
        <v>-0.20255571876271006</v>
      </c>
      <c r="AJ13" s="15">
        <f t="shared" si="2"/>
        <v>6.147267849456739E-2</v>
      </c>
      <c r="AK13" s="15">
        <f t="shared" si="2"/>
        <v>6.281390355522376E-2</v>
      </c>
      <c r="AL13" s="15">
        <f t="shared" si="2"/>
        <v>8.9318972711595279E-2</v>
      </c>
      <c r="AM13" s="15">
        <f t="shared" si="2"/>
        <v>0.22614275136703554</v>
      </c>
      <c r="AO13" s="17">
        <f t="shared" si="7"/>
        <v>0</v>
      </c>
      <c r="AP13" s="17">
        <f t="shared" si="3"/>
        <v>-1.9690504783447249E-3</v>
      </c>
      <c r="AQ13" s="17">
        <f t="shared" si="3"/>
        <v>-4.8907033208853701E-3</v>
      </c>
      <c r="AR13" s="17">
        <f t="shared" si="3"/>
        <v>1.4351954101374798E-3</v>
      </c>
      <c r="AS13" s="17">
        <f t="shared" si="3"/>
        <v>1.4418569039118534E-3</v>
      </c>
      <c r="AT13" s="17">
        <f t="shared" si="3"/>
        <v>1.995703055177378E-3</v>
      </c>
      <c r="AU13" s="17">
        <f t="shared" si="3"/>
        <v>4.9072380202561661E-3</v>
      </c>
    </row>
    <row r="14" spans="2:47" x14ac:dyDescent="0.15">
      <c r="B14" s="23" t="s">
        <v>64</v>
      </c>
      <c r="C14" s="13">
        <v>7.083692366835538</v>
      </c>
      <c r="D14" s="15">
        <v>7.2802582677502157</v>
      </c>
      <c r="E14" s="15">
        <v>7.4202983719411586</v>
      </c>
      <c r="F14" s="15">
        <v>7.6841250822143241</v>
      </c>
      <c r="G14" s="15">
        <v>7.8233707919804472</v>
      </c>
      <c r="H14" s="15">
        <v>8.0497480321268817</v>
      </c>
      <c r="I14" s="15">
        <v>8.3209752496624088</v>
      </c>
      <c r="K14" s="17">
        <f t="shared" si="4"/>
        <v>2.7749073609543151E-2</v>
      </c>
      <c r="L14" s="17">
        <f t="shared" si="0"/>
        <v>1.9235595639688574E-2</v>
      </c>
      <c r="M14" s="17">
        <f t="shared" si="0"/>
        <v>3.5554730692608061E-2</v>
      </c>
      <c r="N14" s="17">
        <f t="shared" si="0"/>
        <v>1.8121218522121785E-2</v>
      </c>
      <c r="O14" s="17">
        <f t="shared" si="0"/>
        <v>2.893602337990786E-2</v>
      </c>
      <c r="P14" s="17">
        <f t="shared" si="0"/>
        <v>3.3693876684468549E-2</v>
      </c>
      <c r="Q14" s="114"/>
      <c r="R14" s="13">
        <v>7.083692366835538</v>
      </c>
      <c r="S14" s="15">
        <v>7.2946217461888931</v>
      </c>
      <c r="T14" s="15">
        <v>7.4567672080888272</v>
      </c>
      <c r="U14" s="15">
        <v>7.6731126661344211</v>
      </c>
      <c r="V14" s="15">
        <v>7.8121068517821071</v>
      </c>
      <c r="W14" s="15">
        <v>8.0337151223128558</v>
      </c>
      <c r="X14" s="15">
        <v>8.2803416423344363</v>
      </c>
      <c r="Z14" s="17">
        <f t="shared" si="8"/>
        <v>2.9776756023579543E-2</v>
      </c>
      <c r="AA14" s="17">
        <f t="shared" si="8"/>
        <v>2.2228083585642766E-2</v>
      </c>
      <c r="AB14" s="17">
        <f t="shared" si="8"/>
        <v>2.9013304560575603E-2</v>
      </c>
      <c r="AC14" s="17">
        <f t="shared" si="8"/>
        <v>1.8114446078856927E-2</v>
      </c>
      <c r="AD14" s="17">
        <f t="shared" si="8"/>
        <v>2.8367286154079574E-2</v>
      </c>
      <c r="AE14" s="17">
        <f t="shared" si="8"/>
        <v>3.0698937697778206E-2</v>
      </c>
      <c r="AG14" s="13">
        <f t="shared" si="6"/>
        <v>0</v>
      </c>
      <c r="AH14" s="15">
        <f t="shared" si="2"/>
        <v>-1.4363478438677468E-2</v>
      </c>
      <c r="AI14" s="15">
        <f t="shared" si="2"/>
        <v>-3.6468836147668604E-2</v>
      </c>
      <c r="AJ14" s="15">
        <f t="shared" si="2"/>
        <v>1.1012416079902998E-2</v>
      </c>
      <c r="AK14" s="15">
        <f t="shared" si="2"/>
        <v>1.1263940198340094E-2</v>
      </c>
      <c r="AL14" s="15">
        <f t="shared" si="2"/>
        <v>1.6032909814025942E-2</v>
      </c>
      <c r="AM14" s="15">
        <f t="shared" si="2"/>
        <v>4.0633607327972499E-2</v>
      </c>
      <c r="AO14" s="17">
        <f t="shared" si="7"/>
        <v>0</v>
      </c>
      <c r="AP14" s="17">
        <f t="shared" si="3"/>
        <v>-1.9690504783447249E-3</v>
      </c>
      <c r="AQ14" s="17">
        <f t="shared" si="3"/>
        <v>-4.8907033208852591E-3</v>
      </c>
      <c r="AR14" s="17">
        <f t="shared" si="3"/>
        <v>1.4351954101372577E-3</v>
      </c>
      <c r="AS14" s="17">
        <f t="shared" si="3"/>
        <v>1.4418569039120754E-3</v>
      </c>
      <c r="AT14" s="17">
        <f t="shared" si="3"/>
        <v>1.9957030551776E-3</v>
      </c>
      <c r="AU14" s="17">
        <f t="shared" si="3"/>
        <v>4.907238020255944E-3</v>
      </c>
    </row>
    <row r="15" spans="2:47" x14ac:dyDescent="0.15">
      <c r="B15" s="22" t="s">
        <v>5</v>
      </c>
      <c r="C15" s="13">
        <v>212.25778199196486</v>
      </c>
      <c r="D15" s="15">
        <v>214.15589425422476</v>
      </c>
      <c r="E15" s="15">
        <v>217.47063745624843</v>
      </c>
      <c r="F15" s="15">
        <v>222.13898052827193</v>
      </c>
      <c r="G15" s="15">
        <v>227.34177167078241</v>
      </c>
      <c r="H15" s="15">
        <v>232.24255297247078</v>
      </c>
      <c r="I15" s="15">
        <v>238.3536660323694</v>
      </c>
      <c r="K15" s="17">
        <f t="shared" si="4"/>
        <v>8.9424860867139966E-3</v>
      </c>
      <c r="L15" s="17">
        <f t="shared" si="0"/>
        <v>1.5478178705129242E-2</v>
      </c>
      <c r="M15" s="17">
        <f t="shared" si="0"/>
        <v>2.1466544295952072E-2</v>
      </c>
      <c r="N15" s="17">
        <f t="shared" si="0"/>
        <v>2.3421333482928741E-2</v>
      </c>
      <c r="O15" s="17">
        <f t="shared" si="0"/>
        <v>2.155688884480611E-2</v>
      </c>
      <c r="P15" s="17">
        <f t="shared" si="0"/>
        <v>2.6313494153773931E-2</v>
      </c>
      <c r="Q15" s="114"/>
      <c r="R15" s="13">
        <v>212.25778199196486</v>
      </c>
      <c r="S15" s="15">
        <v>214.57840997502848</v>
      </c>
      <c r="T15" s="15">
        <v>218.53944906553772</v>
      </c>
      <c r="U15" s="15">
        <v>223.20251656308312</v>
      </c>
      <c r="V15" s="15">
        <v>228.43610601312926</v>
      </c>
      <c r="W15" s="15">
        <v>233.22391796500293</v>
      </c>
      <c r="X15" s="15">
        <v>238.65968977258996</v>
      </c>
      <c r="Z15" s="17">
        <f t="shared" si="8"/>
        <v>1.0933064320588493E-2</v>
      </c>
      <c r="AA15" s="17">
        <f t="shared" si="8"/>
        <v>1.8459634829851801E-2</v>
      </c>
      <c r="AB15" s="17">
        <f t="shared" si="8"/>
        <v>2.1337417649236468E-2</v>
      </c>
      <c r="AC15" s="17">
        <f t="shared" si="8"/>
        <v>2.3447717035784299E-2</v>
      </c>
      <c r="AD15" s="17">
        <f t="shared" si="8"/>
        <v>2.0959085826819823E-2</v>
      </c>
      <c r="AE15" s="17">
        <f t="shared" si="8"/>
        <v>2.3307094122321903E-2</v>
      </c>
      <c r="AG15" s="13">
        <f t="shared" si="6"/>
        <v>0</v>
      </c>
      <c r="AH15" s="15">
        <f t="shared" si="2"/>
        <v>-0.42251572080371602</v>
      </c>
      <c r="AI15" s="15">
        <f t="shared" si="2"/>
        <v>-1.0688116092892983</v>
      </c>
      <c r="AJ15" s="15">
        <f t="shared" si="2"/>
        <v>-1.0635360348111931</v>
      </c>
      <c r="AK15" s="15">
        <f t="shared" si="2"/>
        <v>-1.0943343423468548</v>
      </c>
      <c r="AL15" s="15">
        <f t="shared" si="2"/>
        <v>-0.98136499253214993</v>
      </c>
      <c r="AM15" s="15">
        <f t="shared" si="2"/>
        <v>-0.30602374022055301</v>
      </c>
      <c r="AO15" s="17">
        <f t="shared" si="7"/>
        <v>0</v>
      </c>
      <c r="AP15" s="17">
        <f t="shared" si="3"/>
        <v>-1.9690504783443918E-3</v>
      </c>
      <c r="AQ15" s="17">
        <f t="shared" si="3"/>
        <v>-4.8907033208854811E-3</v>
      </c>
      <c r="AR15" s="17">
        <f t="shared" si="3"/>
        <v>-4.7648926687196003E-3</v>
      </c>
      <c r="AS15" s="17">
        <f t="shared" si="3"/>
        <v>-4.7905489261139689E-3</v>
      </c>
      <c r="AT15" s="17">
        <f t="shared" si="3"/>
        <v>-4.2078231130625587E-3</v>
      </c>
      <c r="AU15" s="17">
        <f t="shared" si="3"/>
        <v>-1.2822598592672207E-3</v>
      </c>
    </row>
    <row r="16" spans="2:47" ht="4" customHeight="1" x14ac:dyDescent="0.15">
      <c r="B16" s="22"/>
      <c r="C16" s="18"/>
      <c r="D16" s="19"/>
      <c r="E16" s="19"/>
      <c r="F16" s="19"/>
      <c r="G16" s="19"/>
      <c r="H16" s="19"/>
      <c r="I16" s="19"/>
      <c r="K16" s="17"/>
      <c r="L16" s="17"/>
      <c r="M16" s="17"/>
      <c r="N16" s="17"/>
      <c r="O16" s="17"/>
      <c r="P16" s="17"/>
      <c r="Q16" s="115"/>
      <c r="R16" s="18"/>
      <c r="S16" s="19"/>
      <c r="T16" s="19"/>
      <c r="U16" s="19"/>
      <c r="V16" s="19"/>
      <c r="W16" s="19"/>
      <c r="X16" s="19"/>
      <c r="Z16" s="17"/>
      <c r="AA16" s="17"/>
      <c r="AB16" s="17"/>
      <c r="AC16" s="17"/>
      <c r="AD16" s="17"/>
      <c r="AE16" s="17"/>
      <c r="AG16" s="18"/>
      <c r="AH16" s="19"/>
      <c r="AI16" s="19"/>
      <c r="AJ16" s="19"/>
      <c r="AK16" s="19"/>
      <c r="AL16" s="19"/>
      <c r="AM16" s="19"/>
      <c r="AO16" s="17"/>
      <c r="AP16" s="17"/>
      <c r="AQ16" s="17"/>
      <c r="AR16" s="17"/>
      <c r="AS16" s="17"/>
      <c r="AT16" s="17"/>
      <c r="AU16" s="17"/>
    </row>
    <row r="17" spans="1:47" x14ac:dyDescent="0.15">
      <c r="A17" s="16"/>
      <c r="B17" s="22" t="s">
        <v>8</v>
      </c>
      <c r="C17" s="13">
        <v>86.028913905086597</v>
      </c>
      <c r="D17" s="15">
        <v>87.216369314104668</v>
      </c>
      <c r="E17" s="15">
        <v>88.137428581891129</v>
      </c>
      <c r="F17" s="15">
        <v>90.212969409271693</v>
      </c>
      <c r="G17" s="15">
        <v>92.054908275620477</v>
      </c>
      <c r="H17" s="15">
        <v>94.316413215501257</v>
      </c>
      <c r="I17" s="15">
        <v>97.082870921829823</v>
      </c>
      <c r="K17" s="17">
        <f t="shared" si="4"/>
        <v>1.3802980359930661E-2</v>
      </c>
      <c r="L17" s="17">
        <f t="shared" si="0"/>
        <v>1.0560623825893511E-2</v>
      </c>
      <c r="M17" s="17">
        <f t="shared" si="0"/>
        <v>2.3548915151888172E-2</v>
      </c>
      <c r="N17" s="17">
        <f t="shared" si="0"/>
        <v>2.041767251881943E-2</v>
      </c>
      <c r="O17" s="17">
        <f t="shared" si="0"/>
        <v>2.4566913185222417E-2</v>
      </c>
      <c r="P17" s="17">
        <f t="shared" si="0"/>
        <v>2.9331667861536959E-2</v>
      </c>
      <c r="Q17" s="114"/>
      <c r="R17" s="13">
        <v>86.028913905086597</v>
      </c>
      <c r="S17" s="15">
        <v>86.71397409544619</v>
      </c>
      <c r="T17" s="15">
        <v>87.882996988681072</v>
      </c>
      <c r="U17" s="15">
        <v>90.290262774472353</v>
      </c>
      <c r="V17" s="15">
        <v>92.135362611984959</v>
      </c>
      <c r="W17" s="15">
        <v>94.344415145238941</v>
      </c>
      <c r="X17" s="15">
        <v>96.828052508510865</v>
      </c>
      <c r="Z17" s="17">
        <f t="shared" ref="Z17:AE20" si="9">S17/R17-1</f>
        <v>7.9631388943883774E-3</v>
      </c>
      <c r="AA17" s="17">
        <f t="shared" si="9"/>
        <v>1.3481366820394358E-2</v>
      </c>
      <c r="AB17" s="17">
        <f t="shared" si="9"/>
        <v>2.7391712484513109E-2</v>
      </c>
      <c r="AC17" s="17">
        <f t="shared" si="9"/>
        <v>2.043520287587719E-2</v>
      </c>
      <c r="AD17" s="17">
        <f t="shared" si="9"/>
        <v>2.3976163664293448E-2</v>
      </c>
      <c r="AE17" s="17">
        <f t="shared" si="9"/>
        <v>2.6325218715368415E-2</v>
      </c>
      <c r="AG17" s="13">
        <f t="shared" si="6"/>
        <v>0</v>
      </c>
      <c r="AH17" s="15">
        <f t="shared" si="2"/>
        <v>0.50239521865847792</v>
      </c>
      <c r="AI17" s="15">
        <f t="shared" si="2"/>
        <v>0.25443159321005737</v>
      </c>
      <c r="AJ17" s="15">
        <f t="shared" si="2"/>
        <v>-7.7293365200659991E-2</v>
      </c>
      <c r="AK17" s="15">
        <f t="shared" si="2"/>
        <v>-8.0454336364482515E-2</v>
      </c>
      <c r="AL17" s="15">
        <f t="shared" si="2"/>
        <v>-2.8001929737683895E-2</v>
      </c>
      <c r="AM17" s="15">
        <f t="shared" si="2"/>
        <v>0.25481841331895794</v>
      </c>
      <c r="AO17" s="17">
        <f t="shared" si="7"/>
        <v>0</v>
      </c>
      <c r="AP17" s="17">
        <f t="shared" si="3"/>
        <v>5.7937053848493569E-3</v>
      </c>
      <c r="AQ17" s="17">
        <f t="shared" si="3"/>
        <v>2.8951173939006924E-3</v>
      </c>
      <c r="AR17" s="17">
        <f t="shared" si="3"/>
        <v>-8.5605427236068454E-4</v>
      </c>
      <c r="AS17" s="17">
        <f t="shared" si="3"/>
        <v>-8.7321886063773668E-4</v>
      </c>
      <c r="AT17" s="17">
        <f t="shared" si="3"/>
        <v>-2.968053773461099E-4</v>
      </c>
      <c r="AU17" s="17">
        <f t="shared" si="3"/>
        <v>2.6316589739998619E-3</v>
      </c>
    </row>
    <row r="18" spans="1:47" x14ac:dyDescent="0.15">
      <c r="A18" s="16"/>
      <c r="B18" s="22" t="s">
        <v>9</v>
      </c>
      <c r="C18" s="13">
        <v>166.96009919618263</v>
      </c>
      <c r="D18" s="15">
        <v>167.77999814945059</v>
      </c>
      <c r="E18" s="15">
        <v>170.54713366417781</v>
      </c>
      <c r="F18" s="15">
        <v>174.81975462302836</v>
      </c>
      <c r="G18" s="15">
        <v>178.9142663954581</v>
      </c>
      <c r="H18" s="15">
        <v>182.771101348895</v>
      </c>
      <c r="I18" s="15">
        <v>187.58044765571796</v>
      </c>
      <c r="K18" s="17">
        <f t="shared" si="4"/>
        <v>4.9107478805732185E-3</v>
      </c>
      <c r="L18" s="17">
        <f t="shared" si="0"/>
        <v>1.6492642420119497E-2</v>
      </c>
      <c r="M18" s="17">
        <f t="shared" si="0"/>
        <v>2.5052434872718132E-2</v>
      </c>
      <c r="N18" s="17">
        <f t="shared" si="0"/>
        <v>2.3421333482928963E-2</v>
      </c>
      <c r="O18" s="17">
        <f t="shared" si="0"/>
        <v>2.155688884480611E-2</v>
      </c>
      <c r="P18" s="17">
        <f t="shared" si="0"/>
        <v>2.6313494153773931E-2</v>
      </c>
      <c r="Q18" s="114"/>
      <c r="R18" s="13">
        <v>166.96009919618263</v>
      </c>
      <c r="S18" s="15">
        <v>168.78548469966634</v>
      </c>
      <c r="T18" s="15">
        <v>172.07293258543987</v>
      </c>
      <c r="U18" s="15">
        <v>175.74452461414432</v>
      </c>
      <c r="V18" s="15">
        <v>179.86533249788525</v>
      </c>
      <c r="W18" s="15">
        <v>183.63514543897787</v>
      </c>
      <c r="X18" s="15">
        <v>187.91514705789044</v>
      </c>
      <c r="Z18" s="17">
        <f t="shared" si="9"/>
        <v>1.0933064320588493E-2</v>
      </c>
      <c r="AA18" s="17">
        <f t="shared" si="9"/>
        <v>1.947707702248902E-2</v>
      </c>
      <c r="AB18" s="17">
        <f t="shared" si="9"/>
        <v>2.1337417649236468E-2</v>
      </c>
      <c r="AC18" s="17">
        <f t="shared" si="9"/>
        <v>2.3447717035784521E-2</v>
      </c>
      <c r="AD18" s="17">
        <f t="shared" si="9"/>
        <v>2.0959085826819601E-2</v>
      </c>
      <c r="AE18" s="17">
        <f t="shared" si="9"/>
        <v>2.3307094122322125E-2</v>
      </c>
      <c r="AG18" s="13">
        <f t="shared" si="6"/>
        <v>0</v>
      </c>
      <c r="AH18" s="15">
        <f t="shared" si="2"/>
        <v>-1.0054865502157497</v>
      </c>
      <c r="AI18" s="15">
        <f t="shared" si="2"/>
        <v>-1.5257989212620657</v>
      </c>
      <c r="AJ18" s="15">
        <f t="shared" si="2"/>
        <v>-0.92476999111596569</v>
      </c>
      <c r="AK18" s="15">
        <f t="shared" si="2"/>
        <v>-0.95106610242714851</v>
      </c>
      <c r="AL18" s="15">
        <f t="shared" si="2"/>
        <v>-0.86404409008287075</v>
      </c>
      <c r="AM18" s="15">
        <f t="shared" si="2"/>
        <v>-0.3346994021724754</v>
      </c>
      <c r="AO18" s="17">
        <f t="shared" si="7"/>
        <v>0</v>
      </c>
      <c r="AP18" s="17">
        <f t="shared" si="3"/>
        <v>-5.9571861407685667E-3</v>
      </c>
      <c r="AQ18" s="17">
        <f t="shared" si="3"/>
        <v>-8.8671640468755974E-3</v>
      </c>
      <c r="AR18" s="17">
        <f t="shared" si="3"/>
        <v>-5.2620131019520677E-3</v>
      </c>
      <c r="AS18" s="17">
        <f t="shared" si="3"/>
        <v>-5.2876565440331813E-3</v>
      </c>
      <c r="AT18" s="17">
        <f t="shared" si="3"/>
        <v>-4.7052218028165171E-3</v>
      </c>
      <c r="AU18" s="17">
        <f t="shared" si="3"/>
        <v>-1.7811198693278296E-3</v>
      </c>
    </row>
    <row r="19" spans="1:47" x14ac:dyDescent="0.15">
      <c r="B19" s="23" t="s">
        <v>10</v>
      </c>
      <c r="C19" s="13">
        <v>111.19542606465764</v>
      </c>
      <c r="D19" s="15">
        <v>111.57369876938465</v>
      </c>
      <c r="E19" s="15">
        <v>113.58439102034242</v>
      </c>
      <c r="F19" s="15">
        <v>116.60477633355993</v>
      </c>
      <c r="G19" s="15">
        <v>119.1569014193751</v>
      </c>
      <c r="H19" s="15">
        <v>121.90832459971297</v>
      </c>
      <c r="I19" s="15">
        <v>125.11615858636388</v>
      </c>
      <c r="K19" s="17">
        <f t="shared" si="4"/>
        <v>3.4018728837557077E-3</v>
      </c>
      <c r="L19" s="17">
        <f t="shared" si="0"/>
        <v>1.8021202784661128E-2</v>
      </c>
      <c r="M19" s="17">
        <f t="shared" si="0"/>
        <v>2.6591552642797334E-2</v>
      </c>
      <c r="N19" s="17">
        <f t="shared" si="0"/>
        <v>2.1886968665113304E-2</v>
      </c>
      <c r="O19" s="17">
        <f t="shared" si="0"/>
        <v>2.3090758047275672E-2</v>
      </c>
      <c r="P19" s="17">
        <f t="shared" si="0"/>
        <v>2.6313494153773931E-2</v>
      </c>
      <c r="Q19" s="114"/>
      <c r="R19" s="13">
        <v>111.19542606465764</v>
      </c>
      <c r="S19" s="15">
        <v>112.24234732527812</v>
      </c>
      <c r="T19" s="15">
        <v>114.60057310190297</v>
      </c>
      <c r="U19" s="15">
        <v>117.22159791763427</v>
      </c>
      <c r="V19" s="15">
        <v>119.79031144359158</v>
      </c>
      <c r="W19" s="15">
        <v>122.48464200779824</v>
      </c>
      <c r="X19" s="15">
        <v>125.33940308761292</v>
      </c>
      <c r="Z19" s="17">
        <f t="shared" si="9"/>
        <v>9.4151468065937216E-3</v>
      </c>
      <c r="AA19" s="17">
        <f t="shared" si="9"/>
        <v>2.1010125258613011E-2</v>
      </c>
      <c r="AB19" s="17">
        <f t="shared" si="9"/>
        <v>2.2870957315376472E-2</v>
      </c>
      <c r="AC19" s="17">
        <f t="shared" si="9"/>
        <v>2.1913312662417583E-2</v>
      </c>
      <c r="AD19" s="17">
        <f t="shared" si="9"/>
        <v>2.2492057427160095E-2</v>
      </c>
      <c r="AE19" s="17">
        <f t="shared" si="9"/>
        <v>2.3307094122322125E-2</v>
      </c>
      <c r="AG19" s="13">
        <f t="shared" si="6"/>
        <v>0</v>
      </c>
      <c r="AH19" s="15">
        <f t="shared" si="2"/>
        <v>-0.66864855589346917</v>
      </c>
      <c r="AI19" s="15">
        <f t="shared" si="2"/>
        <v>-1.0161820815605438</v>
      </c>
      <c r="AJ19" s="15">
        <f t="shared" si="2"/>
        <v>-0.61682158407434429</v>
      </c>
      <c r="AK19" s="15">
        <f t="shared" si="2"/>
        <v>-0.63341002421647374</v>
      </c>
      <c r="AL19" s="15">
        <f t="shared" si="2"/>
        <v>-0.57631740808527354</v>
      </c>
      <c r="AM19" s="15">
        <f t="shared" si="2"/>
        <v>-0.2232445012490416</v>
      </c>
      <c r="AO19" s="17">
        <f t="shared" si="7"/>
        <v>0</v>
      </c>
      <c r="AP19" s="17">
        <f t="shared" si="3"/>
        <v>-5.9571861407684557E-3</v>
      </c>
      <c r="AQ19" s="17">
        <f t="shared" si="3"/>
        <v>-8.8671640468757085E-3</v>
      </c>
      <c r="AR19" s="17">
        <f t="shared" si="3"/>
        <v>-5.2620131019520677E-3</v>
      </c>
      <c r="AS19" s="17">
        <f t="shared" si="3"/>
        <v>-5.2876565440331813E-3</v>
      </c>
      <c r="AT19" s="17">
        <f t="shared" si="3"/>
        <v>-4.7052218028165171E-3</v>
      </c>
      <c r="AU19" s="17">
        <f t="shared" si="3"/>
        <v>-1.7811198693278296E-3</v>
      </c>
    </row>
    <row r="20" spans="1:47" x14ac:dyDescent="0.15">
      <c r="B20" s="23" t="s">
        <v>11</v>
      </c>
      <c r="C20" s="13">
        <v>55.764673131524987</v>
      </c>
      <c r="D20" s="15">
        <v>56.206299380065943</v>
      </c>
      <c r="E20" s="15">
        <v>56.962742643835384</v>
      </c>
      <c r="F20" s="15">
        <v>58.214978289468434</v>
      </c>
      <c r="G20" s="15">
        <v>59.757364976082997</v>
      </c>
      <c r="H20" s="15">
        <v>60.862776749182032</v>
      </c>
      <c r="I20" s="15">
        <v>62.464289069354081</v>
      </c>
      <c r="K20" s="17">
        <f t="shared" si="4"/>
        <v>7.9194626945870983E-3</v>
      </c>
      <c r="L20" s="17">
        <f t="shared" si="0"/>
        <v>1.3458336024835704E-2</v>
      </c>
      <c r="M20" s="17">
        <f t="shared" si="0"/>
        <v>2.1983415606631862E-2</v>
      </c>
      <c r="N20" s="17">
        <f t="shared" si="0"/>
        <v>2.6494670820715438E-2</v>
      </c>
      <c r="O20" s="17">
        <f t="shared" si="0"/>
        <v>1.8498335285390466E-2</v>
      </c>
      <c r="P20" s="17">
        <f t="shared" si="0"/>
        <v>2.6313494153773931E-2</v>
      </c>
      <c r="Q20" s="114"/>
      <c r="R20" s="13">
        <v>55.764673131524987</v>
      </c>
      <c r="S20" s="15">
        <v>56.543137374388223</v>
      </c>
      <c r="T20" s="15">
        <v>57.472359483536906</v>
      </c>
      <c r="U20" s="15">
        <v>58.522926696510055</v>
      </c>
      <c r="V20" s="15">
        <v>60.075021054293671</v>
      </c>
      <c r="W20" s="15">
        <v>61.150503431179629</v>
      </c>
      <c r="X20" s="15">
        <v>62.575743970277514</v>
      </c>
      <c r="Z20" s="17">
        <f t="shared" si="9"/>
        <v>1.3959810022147412E-2</v>
      </c>
      <c r="AA20" s="17">
        <f t="shared" si="9"/>
        <v>1.6433861867197752E-2</v>
      </c>
      <c r="AB20" s="17">
        <f t="shared" si="9"/>
        <v>1.8279521189209058E-2</v>
      </c>
      <c r="AC20" s="17">
        <f t="shared" si="9"/>
        <v>2.6521133603459646E-2</v>
      </c>
      <c r="AD20" s="17">
        <f t="shared" si="9"/>
        <v>1.7902322096799095E-2</v>
      </c>
      <c r="AE20" s="17">
        <f t="shared" si="9"/>
        <v>2.3307094122322125E-2</v>
      </c>
      <c r="AG20" s="13">
        <f t="shared" si="6"/>
        <v>0</v>
      </c>
      <c r="AH20" s="15">
        <f t="shared" si="2"/>
        <v>-0.33683799432228057</v>
      </c>
      <c r="AI20" s="15">
        <f t="shared" si="2"/>
        <v>-0.50961683970152194</v>
      </c>
      <c r="AJ20" s="15">
        <f t="shared" si="2"/>
        <v>-0.30794840704162141</v>
      </c>
      <c r="AK20" s="15">
        <f t="shared" si="2"/>
        <v>-0.31765607821067476</v>
      </c>
      <c r="AL20" s="15">
        <f t="shared" si="2"/>
        <v>-0.28772668199759721</v>
      </c>
      <c r="AM20" s="15">
        <f t="shared" si="2"/>
        <v>-0.1114549009234338</v>
      </c>
      <c r="AO20" s="17">
        <f t="shared" si="7"/>
        <v>0</v>
      </c>
      <c r="AP20" s="17">
        <f t="shared" si="3"/>
        <v>-5.9571861407685667E-3</v>
      </c>
      <c r="AQ20" s="17">
        <f t="shared" si="3"/>
        <v>-8.8671640468754864E-3</v>
      </c>
      <c r="AR20" s="17">
        <f t="shared" si="3"/>
        <v>-5.2620131019521788E-3</v>
      </c>
      <c r="AS20" s="17">
        <f t="shared" si="3"/>
        <v>-5.2876565440332923E-3</v>
      </c>
      <c r="AT20" s="17">
        <f t="shared" si="3"/>
        <v>-4.7052218028166282E-3</v>
      </c>
      <c r="AU20" s="17">
        <f t="shared" si="3"/>
        <v>-1.7811198693278296E-3</v>
      </c>
    </row>
    <row r="21" spans="1:47" ht="4" customHeight="1" x14ac:dyDescent="0.15">
      <c r="B21" s="23"/>
      <c r="C21" s="13"/>
      <c r="D21" s="15"/>
      <c r="E21" s="15"/>
      <c r="F21" s="15"/>
      <c r="G21" s="15"/>
      <c r="H21" s="15"/>
      <c r="I21" s="15"/>
      <c r="K21" s="17"/>
      <c r="L21" s="17"/>
      <c r="M21" s="17"/>
      <c r="N21" s="17"/>
      <c r="O21" s="17"/>
      <c r="P21" s="17"/>
      <c r="Q21" s="114"/>
      <c r="R21" s="13"/>
      <c r="S21" s="15"/>
      <c r="T21" s="15"/>
      <c r="U21" s="15"/>
      <c r="V21" s="15"/>
      <c r="W21" s="15"/>
      <c r="X21" s="15"/>
      <c r="Z21" s="17"/>
      <c r="AA21" s="17"/>
      <c r="AB21" s="17"/>
      <c r="AC21" s="17"/>
      <c r="AD21" s="17"/>
      <c r="AE21" s="17"/>
      <c r="AG21" s="13"/>
      <c r="AH21" s="15"/>
      <c r="AI21" s="15"/>
      <c r="AJ21" s="15"/>
      <c r="AK21" s="15"/>
      <c r="AL21" s="15"/>
      <c r="AM21" s="15"/>
      <c r="AO21" s="17"/>
      <c r="AP21" s="17"/>
      <c r="AQ21" s="17"/>
      <c r="AR21" s="17"/>
      <c r="AS21" s="17"/>
      <c r="AT21" s="17"/>
      <c r="AU21" s="17"/>
    </row>
    <row r="22" spans="1:47" x14ac:dyDescent="0.15">
      <c r="B22" s="22" t="s">
        <v>12</v>
      </c>
      <c r="C22" s="13">
        <v>114.35103392177369</v>
      </c>
      <c r="D22" s="15">
        <v>115.03943678420536</v>
      </c>
      <c r="E22" s="15">
        <v>116.77449423472591</v>
      </c>
      <c r="F22" s="15">
        <v>119.36828555056816</v>
      </c>
      <c r="G22" s="15">
        <v>122.12141898312923</v>
      </c>
      <c r="H22" s="15">
        <v>124.93696189832505</v>
      </c>
      <c r="I22" s="15">
        <v>128.35284275758448</v>
      </c>
      <c r="K22" s="17">
        <f t="shared" si="4"/>
        <v>6.0200842862740966E-3</v>
      </c>
      <c r="L22" s="17">
        <f t="shared" si="0"/>
        <v>1.5082283945593522E-2</v>
      </c>
      <c r="M22" s="17">
        <f t="shared" si="0"/>
        <v>2.2211967885971129E-2</v>
      </c>
      <c r="N22" s="17">
        <f t="shared" si="0"/>
        <v>2.306419514917768E-2</v>
      </c>
      <c r="O22" s="17">
        <f t="shared" si="0"/>
        <v>2.3055275140430265E-2</v>
      </c>
      <c r="P22" s="17">
        <f t="shared" si="0"/>
        <v>2.7340834988762719E-2</v>
      </c>
      <c r="Q22" s="114"/>
      <c r="R22" s="13">
        <v>114.35103392177369</v>
      </c>
      <c r="S22" s="15">
        <v>115.2664021484929</v>
      </c>
      <c r="T22" s="15">
        <v>117.3425772212405</v>
      </c>
      <c r="U22" s="15">
        <v>119.89160169277793</v>
      </c>
      <c r="V22" s="15">
        <v>122.57845255004629</v>
      </c>
      <c r="W22" s="15">
        <v>125.31665314759982</v>
      </c>
      <c r="X22" s="15">
        <v>128.0309999590082</v>
      </c>
      <c r="Z22" s="17">
        <f t="shared" ref="Z22:AE23" si="10">S22/R22-1</f>
        <v>8.0048968105124185E-3</v>
      </c>
      <c r="AA22" s="17">
        <f t="shared" si="10"/>
        <v>1.8011970826268708E-2</v>
      </c>
      <c r="AB22" s="17">
        <f t="shared" si="10"/>
        <v>2.1722928981962264E-2</v>
      </c>
      <c r="AC22" s="17">
        <f t="shared" si="10"/>
        <v>2.2410667797677863E-2</v>
      </c>
      <c r="AD22" s="17">
        <f t="shared" si="10"/>
        <v>2.2338351811347801E-2</v>
      </c>
      <c r="AE22" s="17">
        <f t="shared" si="10"/>
        <v>2.1659905074319141E-2</v>
      </c>
      <c r="AG22" s="13">
        <f t="shared" si="6"/>
        <v>0</v>
      </c>
      <c r="AH22" s="15">
        <f t="shared" si="2"/>
        <v>-0.22696536428753689</v>
      </c>
      <c r="AI22" s="15">
        <f t="shared" si="2"/>
        <v>-0.56808298651459666</v>
      </c>
      <c r="AJ22" s="15">
        <f t="shared" si="2"/>
        <v>-0.52331614220976519</v>
      </c>
      <c r="AK22" s="15">
        <f t="shared" si="2"/>
        <v>-0.45703356691706176</v>
      </c>
      <c r="AL22" s="15">
        <f t="shared" si="2"/>
        <v>-0.37969124927477083</v>
      </c>
      <c r="AM22" s="15">
        <f t="shared" si="2"/>
        <v>0.32184279857628439</v>
      </c>
      <c r="AO22" s="17">
        <f t="shared" si="7"/>
        <v>0</v>
      </c>
      <c r="AP22" s="17">
        <f t="shared" si="3"/>
        <v>-1.9690504783445029E-3</v>
      </c>
      <c r="AQ22" s="17">
        <f t="shared" si="3"/>
        <v>-4.8412349546705924E-3</v>
      </c>
      <c r="AR22" s="17">
        <f t="shared" si="3"/>
        <v>-4.3649107595606917E-3</v>
      </c>
      <c r="AS22" s="17">
        <f t="shared" si="3"/>
        <v>-3.7284984221062079E-3</v>
      </c>
      <c r="AT22" s="17">
        <f t="shared" si="3"/>
        <v>-3.0298546900032752E-3</v>
      </c>
      <c r="AU22" s="17">
        <f t="shared" si="3"/>
        <v>2.5137880566372672E-3</v>
      </c>
    </row>
    <row r="23" spans="1:47" x14ac:dyDescent="0.15">
      <c r="B23" s="22" t="s">
        <v>13</v>
      </c>
      <c r="C23" s="13">
        <v>138.63797917949552</v>
      </c>
      <c r="D23" s="15">
        <v>139.95693067934991</v>
      </c>
      <c r="E23" s="15">
        <v>141.91006801134301</v>
      </c>
      <c r="F23" s="15">
        <v>145.66443848173191</v>
      </c>
      <c r="G23" s="15">
        <v>148.84775568794936</v>
      </c>
      <c r="H23" s="15">
        <v>152.15055266607121</v>
      </c>
      <c r="I23" s="15">
        <v>156.3104758199633</v>
      </c>
      <c r="K23" s="17">
        <f t="shared" si="4"/>
        <v>9.5136376601878681E-3</v>
      </c>
      <c r="L23" s="17">
        <f t="shared" si="4"/>
        <v>1.3955274115491134E-2</v>
      </c>
      <c r="M23" s="17">
        <f t="shared" si="4"/>
        <v>2.6455983870635524E-2</v>
      </c>
      <c r="N23" s="17">
        <f t="shared" si="4"/>
        <v>2.1853770483704515E-2</v>
      </c>
      <c r="O23" s="17">
        <f t="shared" si="4"/>
        <v>2.218909491014398E-2</v>
      </c>
      <c r="P23" s="17">
        <f t="shared" si="4"/>
        <v>2.7340834988762719E-2</v>
      </c>
      <c r="Q23" s="114"/>
      <c r="R23" s="13">
        <v>138.63797917949552</v>
      </c>
      <c r="S23" s="15">
        <v>140.23305664661962</v>
      </c>
      <c r="T23" s="15">
        <v>142.61335235288044</v>
      </c>
      <c r="U23" s="15">
        <v>146.14318569583875</v>
      </c>
      <c r="V23" s="15">
        <v>149.42224255982393</v>
      </c>
      <c r="W23" s="15">
        <v>152.66290743661699</v>
      </c>
      <c r="X23" s="15">
        <v>156.7121996073931</v>
      </c>
      <c r="Z23" s="17">
        <f t="shared" si="10"/>
        <v>1.1505342739156266E-2</v>
      </c>
      <c r="AA23" s="17">
        <f t="shared" si="10"/>
        <v>1.697385597362433E-2</v>
      </c>
      <c r="AB23" s="17">
        <f t="shared" si="10"/>
        <v>2.4751071934864477E-2</v>
      </c>
      <c r="AC23" s="17">
        <f t="shared" si="10"/>
        <v>2.2437288802570121E-2</v>
      </c>
      <c r="AD23" s="17">
        <f t="shared" si="10"/>
        <v>2.1687968412705372E-2</v>
      </c>
      <c r="AE23" s="17">
        <f t="shared" si="10"/>
        <v>2.6524400974462736E-2</v>
      </c>
      <c r="AG23" s="13">
        <f t="shared" si="6"/>
        <v>0</v>
      </c>
      <c r="AH23" s="15">
        <f t="shared" si="6"/>
        <v>-0.27612596726970651</v>
      </c>
      <c r="AI23" s="15">
        <f t="shared" si="6"/>
        <v>-0.70328434153742592</v>
      </c>
      <c r="AJ23" s="15">
        <f t="shared" si="6"/>
        <v>-0.47874721410684629</v>
      </c>
      <c r="AK23" s="15">
        <f t="shared" si="6"/>
        <v>-0.57448687187456926</v>
      </c>
      <c r="AL23" s="15">
        <f t="shared" si="6"/>
        <v>-0.51235477054578382</v>
      </c>
      <c r="AM23" s="15">
        <f t="shared" si="6"/>
        <v>-0.40172378742980186</v>
      </c>
      <c r="AO23" s="17">
        <f t="shared" si="7"/>
        <v>0</v>
      </c>
      <c r="AP23" s="17">
        <f t="shared" si="7"/>
        <v>-1.9690504783442808E-3</v>
      </c>
      <c r="AQ23" s="17">
        <f t="shared" si="7"/>
        <v>-4.9314060004509441E-3</v>
      </c>
      <c r="AR23" s="17">
        <f t="shared" si="7"/>
        <v>-3.2758777758084001E-3</v>
      </c>
      <c r="AS23" s="17">
        <f t="shared" si="7"/>
        <v>-3.8447212545653642E-3</v>
      </c>
      <c r="AT23" s="17">
        <f t="shared" si="7"/>
        <v>-3.356118255238294E-3</v>
      </c>
      <c r="AU23" s="17">
        <f t="shared" si="7"/>
        <v>-2.5634493577157969E-3</v>
      </c>
    </row>
    <row r="24" spans="1:47" ht="4" customHeight="1" x14ac:dyDescent="0.15">
      <c r="B24" s="23"/>
      <c r="C24" s="13"/>
      <c r="D24" s="15"/>
      <c r="E24" s="15"/>
      <c r="F24" s="15"/>
      <c r="G24" s="15"/>
      <c r="H24" s="15"/>
      <c r="I24" s="15"/>
      <c r="K24" s="17"/>
      <c r="L24" s="17"/>
      <c r="M24" s="17"/>
      <c r="N24" s="17"/>
      <c r="O24" s="17"/>
      <c r="P24" s="17"/>
      <c r="Q24" s="114"/>
      <c r="R24" s="13"/>
      <c r="S24" s="15"/>
      <c r="T24" s="15"/>
      <c r="U24" s="15"/>
      <c r="V24" s="15"/>
      <c r="W24" s="15"/>
      <c r="X24" s="15"/>
      <c r="Z24" s="17"/>
      <c r="AA24" s="17"/>
      <c r="AB24" s="17"/>
      <c r="AC24" s="17"/>
      <c r="AD24" s="17"/>
      <c r="AE24" s="17"/>
      <c r="AG24" s="13"/>
      <c r="AH24" s="15"/>
      <c r="AI24" s="15"/>
      <c r="AJ24" s="15"/>
      <c r="AK24" s="15"/>
      <c r="AL24" s="15"/>
      <c r="AM24" s="15"/>
      <c r="AO24" s="17"/>
      <c r="AP24" s="17"/>
      <c r="AQ24" s="17"/>
      <c r="AR24" s="17"/>
      <c r="AS24" s="17"/>
      <c r="AT24" s="17"/>
      <c r="AU24" s="17"/>
    </row>
    <row r="25" spans="1:47" x14ac:dyDescent="0.15">
      <c r="B25" s="22" t="s">
        <v>14</v>
      </c>
      <c r="C25" s="13">
        <v>49.587149461266236</v>
      </c>
      <c r="D25" s="15">
        <v>50.130543057911709</v>
      </c>
      <c r="E25" s="15">
        <v>50.90647256194724</v>
      </c>
      <c r="F25" s="15">
        <v>52.207881513298993</v>
      </c>
      <c r="G25" s="15">
        <v>53.53741428152766</v>
      </c>
      <c r="H25" s="15">
        <v>54.801006891494609</v>
      </c>
      <c r="I25" s="15">
        <v>56.355611490311126</v>
      </c>
      <c r="K25" s="17">
        <f t="shared" si="4"/>
        <v>1.0958355189784275E-2</v>
      </c>
      <c r="L25" s="17">
        <f t="shared" si="4"/>
        <v>1.5478178705129242E-2</v>
      </c>
      <c r="M25" s="17">
        <f t="shared" si="4"/>
        <v>2.5564704955113315E-2</v>
      </c>
      <c r="N25" s="17">
        <f t="shared" si="4"/>
        <v>2.5466131352025689E-2</v>
      </c>
      <c r="O25" s="17">
        <f t="shared" si="4"/>
        <v>2.3602047781432267E-2</v>
      </c>
      <c r="P25" s="17">
        <f t="shared" si="4"/>
        <v>2.8368175823751063E-2</v>
      </c>
      <c r="Q25" s="114"/>
      <c r="R25" s="13">
        <v>49.587149461266236</v>
      </c>
      <c r="S25" s="15">
        <v>49.928972116816681</v>
      </c>
      <c r="T25" s="15">
        <v>51.003042238122937</v>
      </c>
      <c r="U25" s="15">
        <v>52.247902572335818</v>
      </c>
      <c r="V25" s="15">
        <v>53.579835761626256</v>
      </c>
      <c r="W25" s="15">
        <v>54.812335293372392</v>
      </c>
      <c r="X25" s="15">
        <v>56.202143546216632</v>
      </c>
      <c r="Z25" s="17">
        <f t="shared" ref="Z25:AE26" si="11">S25/R25-1</f>
        <v>6.8933717558710139E-3</v>
      </c>
      <c r="AA25" s="17">
        <f t="shared" si="11"/>
        <v>2.1511961407763458E-2</v>
      </c>
      <c r="AB25" s="17">
        <f t="shared" si="11"/>
        <v>2.4407570207300111E-2</v>
      </c>
      <c r="AC25" s="17">
        <f t="shared" si="11"/>
        <v>2.5492567619272544E-2</v>
      </c>
      <c r="AD25" s="17">
        <f t="shared" si="11"/>
        <v>2.3003047960606926E-2</v>
      </c>
      <c r="AE25" s="17">
        <f t="shared" si="11"/>
        <v>2.5355756973417742E-2</v>
      </c>
      <c r="AG25" s="13">
        <f t="shared" si="6"/>
        <v>0</v>
      </c>
      <c r="AH25" s="15">
        <f t="shared" si="6"/>
        <v>0.20157094109502793</v>
      </c>
      <c r="AI25" s="15">
        <f t="shared" si="6"/>
        <v>-9.6569676175697339E-2</v>
      </c>
      <c r="AJ25" s="15">
        <f t="shared" si="6"/>
        <v>-4.0021059036824624E-2</v>
      </c>
      <c r="AK25" s="15">
        <f t="shared" si="6"/>
        <v>-4.2421480098596476E-2</v>
      </c>
      <c r="AL25" s="15">
        <f t="shared" si="6"/>
        <v>-1.1328401877783278E-2</v>
      </c>
      <c r="AM25" s="15">
        <f t="shared" si="6"/>
        <v>0.15346794409449416</v>
      </c>
      <c r="AO25" s="17">
        <f t="shared" si="7"/>
        <v>0</v>
      </c>
      <c r="AP25" s="17">
        <f t="shared" si="7"/>
        <v>4.0371538317156563E-3</v>
      </c>
      <c r="AQ25" s="17">
        <f t="shared" si="7"/>
        <v>-1.8934101170834383E-3</v>
      </c>
      <c r="AR25" s="17">
        <f t="shared" si="7"/>
        <v>-7.6598403125205383E-4</v>
      </c>
      <c r="AS25" s="17">
        <f t="shared" si="7"/>
        <v>-7.9174337688014962E-4</v>
      </c>
      <c r="AT25" s="17">
        <f t="shared" si="7"/>
        <v>-2.0667613990810185E-4</v>
      </c>
      <c r="AU25" s="17">
        <f t="shared" si="7"/>
        <v>2.7306421857076213E-3</v>
      </c>
    </row>
    <row r="26" spans="1:47" x14ac:dyDescent="0.15">
      <c r="B26" s="22" t="s">
        <v>15</v>
      </c>
      <c r="C26" s="13">
        <v>203.401863640003</v>
      </c>
      <c r="D26" s="15">
        <v>204.86582440564354</v>
      </c>
      <c r="E26" s="15">
        <v>207.77808968412171</v>
      </c>
      <c r="F26" s="15">
        <v>212.82484251900107</v>
      </c>
      <c r="G26" s="15">
        <v>217.4317603895509</v>
      </c>
      <c r="H26" s="15">
        <v>222.28650767290165</v>
      </c>
      <c r="I26" s="15">
        <v>228.30770708723665</v>
      </c>
      <c r="K26" s="17">
        <f t="shared" si="4"/>
        <v>7.1973812798076242E-3</v>
      </c>
      <c r="L26" s="17">
        <f t="shared" si="4"/>
        <v>1.4215476333972354E-2</v>
      </c>
      <c r="M26" s="17">
        <f t="shared" si="4"/>
        <v>2.4289148305058461E-2</v>
      </c>
      <c r="N26" s="17">
        <f t="shared" si="4"/>
        <v>2.1646523103328708E-2</v>
      </c>
      <c r="O26" s="17">
        <f t="shared" si="4"/>
        <v>2.2327682371025226E-2</v>
      </c>
      <c r="P26" s="17">
        <f t="shared" si="4"/>
        <v>2.7087561352105549E-2</v>
      </c>
      <c r="Q26" s="114"/>
      <c r="R26" s="13">
        <v>203.401863640003</v>
      </c>
      <c r="S26" s="15">
        <v>205.57048667829585</v>
      </c>
      <c r="T26" s="15">
        <v>208.95288733599801</v>
      </c>
      <c r="U26" s="15">
        <v>213.78688481628086</v>
      </c>
      <c r="V26" s="15">
        <v>218.42085934824394</v>
      </c>
      <c r="W26" s="15">
        <v>223.16722529084441</v>
      </c>
      <c r="X26" s="15">
        <v>228.54105602018467</v>
      </c>
      <c r="Z26" s="17">
        <f t="shared" si="11"/>
        <v>1.0661765823990033E-2</v>
      </c>
      <c r="AA26" s="17">
        <f t="shared" si="11"/>
        <v>1.6453726954469783E-2</v>
      </c>
      <c r="AB26" s="17">
        <f t="shared" si="11"/>
        <v>2.3134389488046248E-2</v>
      </c>
      <c r="AC26" s="17">
        <f t="shared" si="11"/>
        <v>2.1675672649168032E-2</v>
      </c>
      <c r="AD26" s="17">
        <f t="shared" si="11"/>
        <v>2.17303693281099E-2</v>
      </c>
      <c r="AE26" s="17">
        <f t="shared" si="11"/>
        <v>2.4079838436565915E-2</v>
      </c>
      <c r="AG26" s="13">
        <f t="shared" si="6"/>
        <v>0</v>
      </c>
      <c r="AH26" s="15">
        <f t="shared" si="6"/>
        <v>-0.70466227265231396</v>
      </c>
      <c r="AI26" s="15">
        <f t="shared" si="6"/>
        <v>-1.1747976518763039</v>
      </c>
      <c r="AJ26" s="15">
        <f t="shared" si="6"/>
        <v>-0.96204229727979396</v>
      </c>
      <c r="AK26" s="15">
        <f t="shared" si="6"/>
        <v>-0.98909895869303455</v>
      </c>
      <c r="AL26" s="15">
        <f t="shared" si="6"/>
        <v>-0.88071761794276426</v>
      </c>
      <c r="AM26" s="15">
        <f t="shared" si="6"/>
        <v>-0.23334893294801873</v>
      </c>
      <c r="AO26" s="17">
        <f t="shared" si="7"/>
        <v>0</v>
      </c>
      <c r="AP26" s="17">
        <f t="shared" si="7"/>
        <v>-3.4278377409061589E-3</v>
      </c>
      <c r="AQ26" s="17">
        <f t="shared" si="7"/>
        <v>-5.6223087742607314E-3</v>
      </c>
      <c r="AR26" s="17">
        <f t="shared" si="7"/>
        <v>-4.5000061538224001E-3</v>
      </c>
      <c r="AS26" s="17">
        <f t="shared" si="7"/>
        <v>-4.5284088783664744E-3</v>
      </c>
      <c r="AT26" s="17">
        <f t="shared" si="7"/>
        <v>-3.9464469605470232E-3</v>
      </c>
      <c r="AU26" s="17">
        <f t="shared" si="7"/>
        <v>-1.0210372569880999E-3</v>
      </c>
    </row>
    <row r="27" spans="1:47" ht="4" customHeight="1" x14ac:dyDescent="0.15">
      <c r="B27" s="24"/>
      <c r="C27" s="25"/>
      <c r="D27" s="26"/>
      <c r="E27" s="26"/>
      <c r="F27" s="26"/>
      <c r="G27" s="26"/>
      <c r="H27" s="26"/>
      <c r="I27" s="26"/>
      <c r="K27" s="56"/>
      <c r="L27" s="56"/>
      <c r="M27" s="56"/>
      <c r="N27" s="56"/>
      <c r="O27" s="56"/>
      <c r="P27" s="56"/>
      <c r="Q27" s="115"/>
      <c r="R27" s="25"/>
      <c r="S27" s="26"/>
      <c r="T27" s="26"/>
      <c r="U27" s="26"/>
      <c r="V27" s="26"/>
      <c r="W27" s="26"/>
      <c r="X27" s="26"/>
      <c r="Z27" s="56"/>
      <c r="AA27" s="56"/>
      <c r="AB27" s="56"/>
      <c r="AC27" s="56"/>
      <c r="AD27" s="56"/>
      <c r="AE27" s="56"/>
      <c r="AG27" s="25"/>
      <c r="AH27" s="26"/>
      <c r="AI27" s="26"/>
      <c r="AJ27" s="26"/>
      <c r="AK27" s="26"/>
      <c r="AL27" s="26"/>
      <c r="AM27" s="26"/>
      <c r="AO27" s="56"/>
      <c r="AP27" s="56"/>
      <c r="AQ27" s="56"/>
      <c r="AR27" s="56"/>
      <c r="AS27" s="56"/>
      <c r="AT27" s="56"/>
      <c r="AU27" s="56"/>
    </row>
    <row r="28" spans="1:47" x14ac:dyDescent="0.15">
      <c r="B28" s="20" t="s">
        <v>16</v>
      </c>
      <c r="C28" s="18"/>
      <c r="D28" s="19"/>
      <c r="E28" s="19"/>
      <c r="F28" s="19"/>
      <c r="G28" s="19"/>
      <c r="H28" s="19"/>
      <c r="I28" s="19"/>
      <c r="K28" s="17"/>
      <c r="L28" s="17"/>
      <c r="M28" s="17"/>
      <c r="N28" s="17"/>
      <c r="O28" s="17"/>
      <c r="P28" s="17"/>
      <c r="Q28" s="115"/>
      <c r="R28" s="18"/>
      <c r="S28" s="19"/>
      <c r="T28" s="19"/>
      <c r="U28" s="19"/>
      <c r="V28" s="19"/>
      <c r="W28" s="19"/>
      <c r="X28" s="19"/>
      <c r="Z28" s="17"/>
      <c r="AA28" s="17"/>
      <c r="AB28" s="17"/>
      <c r="AC28" s="17"/>
      <c r="AD28" s="17"/>
      <c r="AE28" s="17"/>
      <c r="AG28" s="18"/>
      <c r="AH28" s="19"/>
      <c r="AI28" s="19"/>
      <c r="AJ28" s="19"/>
      <c r="AK28" s="19"/>
      <c r="AL28" s="19"/>
      <c r="AM28" s="19"/>
      <c r="AO28" s="17"/>
      <c r="AP28" s="17"/>
      <c r="AQ28" s="17"/>
      <c r="AR28" s="17"/>
      <c r="AS28" s="17"/>
      <c r="AT28" s="17"/>
      <c r="AU28" s="17"/>
    </row>
    <row r="29" spans="1:47" x14ac:dyDescent="0.15">
      <c r="B29" s="21" t="s">
        <v>7</v>
      </c>
      <c r="C29" s="9">
        <v>16.516406333414267</v>
      </c>
      <c r="D29" s="10">
        <v>16.407088882773927</v>
      </c>
      <c r="E29" s="10">
        <v>16.804191834137693</v>
      </c>
      <c r="F29" s="10">
        <v>17.456357670208838</v>
      </c>
      <c r="G29" s="10">
        <v>18.186821386785443</v>
      </c>
      <c r="H29" s="10">
        <v>18.917027920149518</v>
      </c>
      <c r="I29" s="10">
        <v>19.651401010210705</v>
      </c>
      <c r="K29" s="44">
        <f t="shared" si="4"/>
        <v>-6.6187188928127361E-3</v>
      </c>
      <c r="L29" s="44">
        <f t="shared" si="4"/>
        <v>2.4203132816613904E-2</v>
      </c>
      <c r="M29" s="44">
        <f t="shared" si="4"/>
        <v>3.8809711440348504E-2</v>
      </c>
      <c r="N29" s="44">
        <f t="shared" si="4"/>
        <v>4.1845139196661885E-2</v>
      </c>
      <c r="O29" s="44">
        <f t="shared" si="4"/>
        <v>4.0150310922096866E-2</v>
      </c>
      <c r="P29" s="44">
        <f t="shared" si="4"/>
        <v>3.8820743573517058E-2</v>
      </c>
      <c r="Q29" s="113"/>
      <c r="R29" s="9">
        <v>16.516406333414267</v>
      </c>
      <c r="S29" s="10">
        <v>16.187905784120474</v>
      </c>
      <c r="T29" s="10">
        <v>16.630227663585138</v>
      </c>
      <c r="U29" s="10">
        <v>17.289215928830082</v>
      </c>
      <c r="V29" s="10">
        <v>18.057805015585739</v>
      </c>
      <c r="W29" s="10">
        <v>18.765160177167729</v>
      </c>
      <c r="X29" s="10">
        <v>19.522571804192317</v>
      </c>
      <c r="Z29" s="44">
        <f t="shared" ref="Z29:AE32" si="12">S29/R29-1</f>
        <v>-1.9889347758973774E-2</v>
      </c>
      <c r="AA29" s="44">
        <f t="shared" si="12"/>
        <v>2.7324218794166688E-2</v>
      </c>
      <c r="AB29" s="44">
        <f t="shared" si="12"/>
        <v>3.962593168149553E-2</v>
      </c>
      <c r="AC29" s="44">
        <f t="shared" si="12"/>
        <v>4.4454826055704499E-2</v>
      </c>
      <c r="AD29" s="44">
        <f t="shared" si="12"/>
        <v>3.9171713337887493E-2</v>
      </c>
      <c r="AE29" s="44">
        <f t="shared" si="12"/>
        <v>4.0362651843822706E-2</v>
      </c>
      <c r="AG29" s="9">
        <f t="shared" si="6"/>
        <v>0</v>
      </c>
      <c r="AH29" s="10">
        <f t="shared" si="6"/>
        <v>0.21918309865345265</v>
      </c>
      <c r="AI29" s="10">
        <f t="shared" si="6"/>
        <v>0.17396417055255498</v>
      </c>
      <c r="AJ29" s="10">
        <f t="shared" si="6"/>
        <v>0.16714174137875659</v>
      </c>
      <c r="AK29" s="10">
        <f t="shared" si="6"/>
        <v>0.12901637119970388</v>
      </c>
      <c r="AL29" s="10">
        <f t="shared" si="6"/>
        <v>0.15186774298178918</v>
      </c>
      <c r="AM29" s="10">
        <f t="shared" si="6"/>
        <v>0.12882920601838777</v>
      </c>
      <c r="AO29" s="44">
        <f t="shared" si="7"/>
        <v>0</v>
      </c>
      <c r="AP29" s="44">
        <f t="shared" si="7"/>
        <v>1.3539929227192493E-2</v>
      </c>
      <c r="AQ29" s="44">
        <f t="shared" si="7"/>
        <v>1.0460720927680356E-2</v>
      </c>
      <c r="AR29" s="44">
        <f t="shared" si="7"/>
        <v>9.6673985718487287E-3</v>
      </c>
      <c r="AS29" s="44">
        <f t="shared" si="7"/>
        <v>7.1446319798198488E-3</v>
      </c>
      <c r="AT29" s="44">
        <f t="shared" si="7"/>
        <v>8.0930693662062403E-3</v>
      </c>
      <c r="AU29" s="44">
        <f t="shared" si="7"/>
        <v>6.5989874341618737E-3</v>
      </c>
    </row>
    <row r="30" spans="1:47" ht="13.25" customHeight="1" x14ac:dyDescent="0.15">
      <c r="B30" s="22" t="s">
        <v>17</v>
      </c>
      <c r="C30" s="13">
        <v>6.9640000000000004</v>
      </c>
      <c r="D30" s="15">
        <v>6.6159999999999997</v>
      </c>
      <c r="E30" s="15">
        <v>6.7381291912005015</v>
      </c>
      <c r="F30" s="15">
        <v>7.1115000603081295</v>
      </c>
      <c r="G30" s="15">
        <v>7.5267902024882662</v>
      </c>
      <c r="H30" s="15">
        <v>7.9248800042178953</v>
      </c>
      <c r="I30" s="15">
        <v>8.3898294942328171</v>
      </c>
      <c r="K30" s="17">
        <f t="shared" si="4"/>
        <v>-4.9971280873061574E-2</v>
      </c>
      <c r="L30" s="17">
        <f t="shared" si="4"/>
        <v>1.8459672188709364E-2</v>
      </c>
      <c r="M30" s="17">
        <f t="shared" si="4"/>
        <v>5.5411651886286606E-2</v>
      </c>
      <c r="N30" s="17">
        <f t="shared" si="4"/>
        <v>5.8396982163864797E-2</v>
      </c>
      <c r="O30" s="17">
        <f t="shared" si="4"/>
        <v>5.2889716734501935E-2</v>
      </c>
      <c r="P30" s="17">
        <f t="shared" si="4"/>
        <v>5.8669593705830136E-2</v>
      </c>
      <c r="Q30" s="114"/>
      <c r="R30" s="13">
        <v>6.9640000000000004</v>
      </c>
      <c r="S30" s="15">
        <v>6.6463844765516882</v>
      </c>
      <c r="T30" s="15">
        <v>6.8564913118582425</v>
      </c>
      <c r="U30" s="15">
        <v>7.2195679209293901</v>
      </c>
      <c r="V30" s="15">
        <v>7.6389641645898338</v>
      </c>
      <c r="W30" s="15">
        <v>8.0279486776272719</v>
      </c>
      <c r="X30" s="15">
        <v>8.4558159720874198</v>
      </c>
      <c r="Z30" s="17">
        <f t="shared" si="12"/>
        <v>-4.5608202677816179E-2</v>
      </c>
      <c r="AA30" s="17">
        <f t="shared" si="12"/>
        <v>3.1612199993516388E-2</v>
      </c>
      <c r="AB30" s="17">
        <f t="shared" si="12"/>
        <v>5.295370365936436E-2</v>
      </c>
      <c r="AC30" s="17">
        <f t="shared" si="12"/>
        <v>5.8091598867658245E-2</v>
      </c>
      <c r="AD30" s="17">
        <f t="shared" si="12"/>
        <v>5.0921107188925285E-2</v>
      </c>
      <c r="AE30" s="17">
        <f t="shared" si="12"/>
        <v>5.3297213477778271E-2</v>
      </c>
      <c r="AG30" s="13">
        <f t="shared" si="6"/>
        <v>0</v>
      </c>
      <c r="AH30" s="15">
        <f t="shared" si="6"/>
        <v>-3.0384476551688522E-2</v>
      </c>
      <c r="AI30" s="15">
        <f t="shared" si="6"/>
        <v>-0.11836212065774099</v>
      </c>
      <c r="AJ30" s="15">
        <f t="shared" si="6"/>
        <v>-0.10806786062126061</v>
      </c>
      <c r="AK30" s="15">
        <f t="shared" si="6"/>
        <v>-0.1121739621015676</v>
      </c>
      <c r="AL30" s="15">
        <f t="shared" si="6"/>
        <v>-0.10306867340937664</v>
      </c>
      <c r="AM30" s="15">
        <f t="shared" si="6"/>
        <v>-6.5986477854602654E-2</v>
      </c>
      <c r="AO30" s="17">
        <f t="shared" si="7"/>
        <v>0</v>
      </c>
      <c r="AP30" s="17">
        <f t="shared" si="7"/>
        <v>-4.5715797301351113E-3</v>
      </c>
      <c r="AQ30" s="17">
        <f t="shared" si="7"/>
        <v>-1.7262782854115866E-2</v>
      </c>
      <c r="AR30" s="17">
        <f t="shared" si="7"/>
        <v>-1.4968743532140505E-2</v>
      </c>
      <c r="AS30" s="17">
        <f t="shared" si="7"/>
        <v>-1.4684446697831977E-2</v>
      </c>
      <c r="AT30" s="17">
        <f t="shared" si="7"/>
        <v>-1.2838730982002167E-2</v>
      </c>
      <c r="AU30" s="17">
        <f t="shared" si="7"/>
        <v>-7.8036795115248303E-3</v>
      </c>
    </row>
    <row r="31" spans="1:47" ht="13.25" customHeight="1" x14ac:dyDescent="0.15">
      <c r="B31" s="22" t="s">
        <v>18</v>
      </c>
      <c r="C31" s="13">
        <v>7.8261018177054638</v>
      </c>
      <c r="D31" s="15">
        <v>8.4112546996478397</v>
      </c>
      <c r="E31" s="15">
        <v>8.6507700825688545</v>
      </c>
      <c r="F31" s="15">
        <v>8.8494537988818909</v>
      </c>
      <c r="G31" s="15">
        <v>9.0776177267501765</v>
      </c>
      <c r="H31" s="15">
        <v>9.3344298943603778</v>
      </c>
      <c r="I31" s="15">
        <v>9.5317997285246978</v>
      </c>
      <c r="K31" s="17">
        <f t="shared" si="4"/>
        <v>7.4769392933088152E-2</v>
      </c>
      <c r="L31" s="17">
        <f t="shared" si="4"/>
        <v>2.8475583188682041E-2</v>
      </c>
      <c r="M31" s="17">
        <f t="shared" si="4"/>
        <v>2.2967171062999503E-2</v>
      </c>
      <c r="N31" s="17">
        <f t="shared" si="4"/>
        <v>2.5782826042564766E-2</v>
      </c>
      <c r="O31" s="17">
        <f t="shared" si="4"/>
        <v>2.8290700857937612E-2</v>
      </c>
      <c r="P31" s="17">
        <f t="shared" si="4"/>
        <v>2.1144283732160929E-2</v>
      </c>
      <c r="Q31" s="114"/>
      <c r="R31" s="13">
        <v>7.8261018177054638</v>
      </c>
      <c r="S31" s="15">
        <v>8.1922866692465686</v>
      </c>
      <c r="T31" s="15">
        <v>8.3822328641591017</v>
      </c>
      <c r="U31" s="15">
        <v>8.6020210068214258</v>
      </c>
      <c r="V31" s="15">
        <v>8.8558867205377627</v>
      </c>
      <c r="W31" s="15">
        <v>9.087058839480763</v>
      </c>
      <c r="X31" s="15">
        <v>9.3436358637990917</v>
      </c>
      <c r="Z31" s="17">
        <f t="shared" si="12"/>
        <v>4.6790197734543071E-2</v>
      </c>
      <c r="AA31" s="17">
        <f t="shared" si="12"/>
        <v>2.3185980005506979E-2</v>
      </c>
      <c r="AB31" s="17">
        <f t="shared" si="12"/>
        <v>2.6220715437541564E-2</v>
      </c>
      <c r="AC31" s="17">
        <f t="shared" si="12"/>
        <v>2.9512333614974962E-2</v>
      </c>
      <c r="AD31" s="17">
        <f t="shared" si="12"/>
        <v>2.6103780032200152E-2</v>
      </c>
      <c r="AE31" s="17">
        <f t="shared" si="12"/>
        <v>2.8235431161023561E-2</v>
      </c>
      <c r="AG31" s="13">
        <f t="shared" si="6"/>
        <v>0</v>
      </c>
      <c r="AH31" s="15">
        <f t="shared" si="6"/>
        <v>0.21896803040127111</v>
      </c>
      <c r="AI31" s="15">
        <f t="shared" si="6"/>
        <v>0.26853721840975275</v>
      </c>
      <c r="AJ31" s="15">
        <f t="shared" si="6"/>
        <v>0.24743279206046509</v>
      </c>
      <c r="AK31" s="15">
        <f t="shared" si="6"/>
        <v>0.22173100621241382</v>
      </c>
      <c r="AL31" s="15">
        <f t="shared" si="6"/>
        <v>0.24737105487961486</v>
      </c>
      <c r="AM31" s="15">
        <f t="shared" si="6"/>
        <v>0.18816386472560609</v>
      </c>
      <c r="AO31" s="17">
        <f t="shared" si="7"/>
        <v>0</v>
      </c>
      <c r="AP31" s="17">
        <f t="shared" si="7"/>
        <v>2.6728560564569293E-2</v>
      </c>
      <c r="AQ31" s="17">
        <f t="shared" si="7"/>
        <v>3.2036477960182719E-2</v>
      </c>
      <c r="AR31" s="17">
        <f t="shared" si="7"/>
        <v>2.8764495211561325E-2</v>
      </c>
      <c r="AS31" s="17">
        <f t="shared" si="7"/>
        <v>2.503769675578571E-2</v>
      </c>
      <c r="AT31" s="17">
        <f t="shared" si="7"/>
        <v>2.7222345452948549E-2</v>
      </c>
      <c r="AU31" s="17">
        <f t="shared" si="7"/>
        <v>2.013818469260209E-2</v>
      </c>
    </row>
    <row r="32" spans="1:47" x14ac:dyDescent="0.15">
      <c r="B32" s="22" t="s">
        <v>19</v>
      </c>
      <c r="C32" s="13">
        <v>1.7263045157088026</v>
      </c>
      <c r="D32" s="15">
        <v>1.3798341831260867</v>
      </c>
      <c r="E32" s="15">
        <v>1.4152925603683377</v>
      </c>
      <c r="F32" s="15">
        <v>1.4954038110188197</v>
      </c>
      <c r="G32" s="15">
        <v>1.5824134575469992</v>
      </c>
      <c r="H32" s="15">
        <v>1.6577180215712455</v>
      </c>
      <c r="I32" s="15">
        <v>1.7297717874531904</v>
      </c>
      <c r="K32" s="17">
        <f t="shared" si="4"/>
        <v>-0.20070058870260143</v>
      </c>
      <c r="L32" s="17">
        <f t="shared" si="4"/>
        <v>2.5697564008682727E-2</v>
      </c>
      <c r="M32" s="17">
        <f t="shared" si="4"/>
        <v>5.6604021595105802E-2</v>
      </c>
      <c r="N32" s="17">
        <f t="shared" si="4"/>
        <v>5.8184716320135443E-2</v>
      </c>
      <c r="O32" s="17">
        <f t="shared" si="4"/>
        <v>4.7588424924659423E-2</v>
      </c>
      <c r="P32" s="17">
        <f t="shared" si="4"/>
        <v>4.3465634652176677E-2</v>
      </c>
      <c r="Q32" s="114"/>
      <c r="R32" s="13">
        <v>1.7263045157088026</v>
      </c>
      <c r="S32" s="15">
        <v>1.3492346383222193</v>
      </c>
      <c r="T32" s="15">
        <v>1.3915034875677943</v>
      </c>
      <c r="U32" s="15">
        <v>1.4676270010792671</v>
      </c>
      <c r="V32" s="15">
        <v>1.5629541304581425</v>
      </c>
      <c r="W32" s="15">
        <v>1.6501526600596947</v>
      </c>
      <c r="X32" s="15">
        <v>1.7231199683058063</v>
      </c>
      <c r="Z32" s="17">
        <f t="shared" si="12"/>
        <v>-0.21842605053475306</v>
      </c>
      <c r="AA32" s="17">
        <f t="shared" si="12"/>
        <v>3.1328019637960391E-2</v>
      </c>
      <c r="AB32" s="17">
        <f t="shared" si="12"/>
        <v>5.4705945182019544E-2</v>
      </c>
      <c r="AC32" s="17">
        <f t="shared" si="12"/>
        <v>6.4953240372910503E-2</v>
      </c>
      <c r="AD32" s="17">
        <f t="shared" si="12"/>
        <v>5.5790843699291548E-2</v>
      </c>
      <c r="AE32" s="17">
        <f t="shared" si="12"/>
        <v>4.4218519905589782E-2</v>
      </c>
      <c r="AG32" s="13">
        <f t="shared" si="6"/>
        <v>0</v>
      </c>
      <c r="AH32" s="15">
        <f t="shared" si="6"/>
        <v>3.0599544803867396E-2</v>
      </c>
      <c r="AI32" s="15">
        <f t="shared" si="6"/>
        <v>2.3789072800543432E-2</v>
      </c>
      <c r="AJ32" s="15">
        <f t="shared" si="6"/>
        <v>2.777680993955256E-2</v>
      </c>
      <c r="AK32" s="15">
        <f t="shared" si="6"/>
        <v>1.9459327088856782E-2</v>
      </c>
      <c r="AL32" s="15">
        <f t="shared" si="6"/>
        <v>7.5653615115507389E-3</v>
      </c>
      <c r="AM32" s="15">
        <f t="shared" si="6"/>
        <v>6.6518191473841082E-3</v>
      </c>
      <c r="AO32" s="17">
        <f t="shared" si="7"/>
        <v>0</v>
      </c>
      <c r="AP32" s="17">
        <f t="shared" si="7"/>
        <v>2.2679187099671649E-2</v>
      </c>
      <c r="AQ32" s="17">
        <f t="shared" si="7"/>
        <v>1.7095949103314245E-2</v>
      </c>
      <c r="AR32" s="17">
        <f t="shared" si="7"/>
        <v>1.8926341583471729E-2</v>
      </c>
      <c r="AS32" s="17">
        <f t="shared" si="7"/>
        <v>1.245035072344236E-2</v>
      </c>
      <c r="AT32" s="17">
        <f t="shared" si="7"/>
        <v>4.5846434058272045E-3</v>
      </c>
      <c r="AU32" s="17">
        <f t="shared" si="7"/>
        <v>3.8603343178271743E-3</v>
      </c>
    </row>
    <row r="33" spans="2:61" ht="4" customHeight="1" x14ac:dyDescent="0.15">
      <c r="B33" s="22"/>
      <c r="C33" s="13"/>
      <c r="D33" s="15"/>
      <c r="E33" s="15"/>
      <c r="F33" s="15"/>
      <c r="G33" s="15"/>
      <c r="H33" s="15"/>
      <c r="I33" s="15"/>
      <c r="K33" s="17"/>
      <c r="L33" s="17"/>
      <c r="M33" s="17"/>
      <c r="N33" s="17"/>
      <c r="O33" s="17"/>
      <c r="P33" s="17"/>
      <c r="Q33" s="114"/>
      <c r="R33" s="13"/>
      <c r="S33" s="15"/>
      <c r="T33" s="15"/>
      <c r="U33" s="15"/>
      <c r="V33" s="15"/>
      <c r="W33" s="15"/>
      <c r="X33" s="15"/>
      <c r="Z33" s="17"/>
      <c r="AA33" s="17"/>
      <c r="AB33" s="17"/>
      <c r="AC33" s="17"/>
      <c r="AD33" s="17"/>
      <c r="AE33" s="17"/>
      <c r="AG33" s="13"/>
      <c r="AH33" s="15"/>
      <c r="AI33" s="15"/>
      <c r="AJ33" s="15"/>
      <c r="AK33" s="15"/>
      <c r="AL33" s="15"/>
      <c r="AM33" s="15"/>
      <c r="AO33" s="17"/>
      <c r="AP33" s="17"/>
      <c r="AQ33" s="17"/>
      <c r="AR33" s="17"/>
      <c r="AS33" s="17"/>
      <c r="AT33" s="17"/>
      <c r="AU33" s="17"/>
    </row>
    <row r="34" spans="2:61" x14ac:dyDescent="0.15">
      <c r="B34" s="22" t="s">
        <v>4</v>
      </c>
      <c r="C34" s="13">
        <v>3.468445330016996</v>
      </c>
      <c r="D34" s="15">
        <v>3.4799435520363495</v>
      </c>
      <c r="E34" s="15">
        <v>3.5285273971403983</v>
      </c>
      <c r="F34" s="15">
        <v>3.6288138419604539</v>
      </c>
      <c r="G34" s="15">
        <v>3.7428554416731012</v>
      </c>
      <c r="H34" s="15">
        <v>3.9009185158955235</v>
      </c>
      <c r="I34" s="15">
        <v>4.0401980080823812</v>
      </c>
      <c r="K34" s="17">
        <f t="shared" si="4"/>
        <v>3.3150939182591266E-3</v>
      </c>
      <c r="L34" s="17">
        <f t="shared" si="4"/>
        <v>1.3961101488447758E-2</v>
      </c>
      <c r="M34" s="17">
        <f t="shared" si="4"/>
        <v>2.8421614325945255E-2</v>
      </c>
      <c r="N34" s="17">
        <f t="shared" si="4"/>
        <v>3.1426687804695153E-2</v>
      </c>
      <c r="O34" s="17">
        <f t="shared" si="4"/>
        <v>4.2230611543941032E-2</v>
      </c>
      <c r="P34" s="17">
        <f t="shared" si="4"/>
        <v>3.5704281342796351E-2</v>
      </c>
      <c r="Q34" s="114"/>
      <c r="R34" s="13">
        <v>3.468445330016996</v>
      </c>
      <c r="S34" s="15">
        <v>3.4334548168119525</v>
      </c>
      <c r="T34" s="15">
        <v>3.4919985745719431</v>
      </c>
      <c r="U34" s="15">
        <v>3.6485241328774101</v>
      </c>
      <c r="V34" s="15">
        <v>3.7726114521788694</v>
      </c>
      <c r="W34" s="15">
        <v>3.9282318887318897</v>
      </c>
      <c r="X34" s="15">
        <v>4.0949593163082136</v>
      </c>
      <c r="Z34" s="17">
        <f t="shared" ref="Z34:AE35" si="13">S34/R34-1</f>
        <v>-1.0088241236563489E-2</v>
      </c>
      <c r="AA34" s="17">
        <f t="shared" si="13"/>
        <v>1.7050976606224788E-2</v>
      </c>
      <c r="AB34" s="17">
        <f t="shared" si="13"/>
        <v>4.4824061339903132E-2</v>
      </c>
      <c r="AC34" s="17">
        <f t="shared" si="13"/>
        <v>3.4010277795147204E-2</v>
      </c>
      <c r="AD34" s="17">
        <f t="shared" si="13"/>
        <v>4.1250056764563281E-2</v>
      </c>
      <c r="AE34" s="17">
        <f t="shared" si="13"/>
        <v>4.244337714751012E-2</v>
      </c>
      <c r="AG34" s="13">
        <f t="shared" si="6"/>
        <v>0</v>
      </c>
      <c r="AH34" s="15">
        <f t="shared" si="6"/>
        <v>4.6488735224397004E-2</v>
      </c>
      <c r="AI34" s="15">
        <f t="shared" si="6"/>
        <v>3.6528822568455244E-2</v>
      </c>
      <c r="AJ34" s="15">
        <f t="shared" si="6"/>
        <v>-1.9710290916956197E-2</v>
      </c>
      <c r="AK34" s="15">
        <f t="shared" si="6"/>
        <v>-2.9756010505768149E-2</v>
      </c>
      <c r="AL34" s="15">
        <f t="shared" si="6"/>
        <v>-2.7313372836366145E-2</v>
      </c>
      <c r="AM34" s="15">
        <f t="shared" si="6"/>
        <v>-5.4761308225832472E-2</v>
      </c>
      <c r="AO34" s="17">
        <f t="shared" si="7"/>
        <v>0</v>
      </c>
      <c r="AP34" s="17">
        <f t="shared" si="7"/>
        <v>1.3539929227192493E-2</v>
      </c>
      <c r="AQ34" s="17">
        <f t="shared" si="7"/>
        <v>1.0460720927680578E-2</v>
      </c>
      <c r="AR34" s="17">
        <f t="shared" si="7"/>
        <v>-5.4022640934024979E-3</v>
      </c>
      <c r="AS34" s="17">
        <f t="shared" si="7"/>
        <v>-7.8873774527145057E-3</v>
      </c>
      <c r="AT34" s="17">
        <f t="shared" si="7"/>
        <v>-6.9530958482146854E-3</v>
      </c>
      <c r="AU34" s="17">
        <f t="shared" si="7"/>
        <v>-1.3372857700379326E-2</v>
      </c>
    </row>
    <row r="35" spans="2:61" x14ac:dyDescent="0.15">
      <c r="B35" s="22" t="s">
        <v>5</v>
      </c>
      <c r="C35" s="13">
        <v>13.047961003397271</v>
      </c>
      <c r="D35" s="15">
        <v>12.927145330737575</v>
      </c>
      <c r="E35" s="15">
        <v>13.275664436997296</v>
      </c>
      <c r="F35" s="15">
        <v>13.827543828248384</v>
      </c>
      <c r="G35" s="15">
        <v>14.443965945112341</v>
      </c>
      <c r="H35" s="15">
        <v>15.016109404253996</v>
      </c>
      <c r="I35" s="15">
        <v>15.611203002128324</v>
      </c>
      <c r="K35" s="17">
        <f t="shared" si="4"/>
        <v>-9.2593526780344604E-3</v>
      </c>
      <c r="L35" s="17">
        <f t="shared" si="4"/>
        <v>2.6960252812430863E-2</v>
      </c>
      <c r="M35" s="17">
        <f t="shared" si="4"/>
        <v>4.1570754810063004E-2</v>
      </c>
      <c r="N35" s="17">
        <f t="shared" si="4"/>
        <v>4.4579292209847354E-2</v>
      </c>
      <c r="O35" s="17">
        <f t="shared" si="4"/>
        <v>3.9611243983530775E-2</v>
      </c>
      <c r="P35" s="17">
        <f t="shared" si="4"/>
        <v>3.963034510828356E-2</v>
      </c>
      <c r="Q35" s="114"/>
      <c r="R35" s="13">
        <v>13.047961003397271</v>
      </c>
      <c r="S35" s="15">
        <v>12.754450967308523</v>
      </c>
      <c r="T35" s="15">
        <v>13.138229089013196</v>
      </c>
      <c r="U35" s="15">
        <v>13.640691795952673</v>
      </c>
      <c r="V35" s="15">
        <v>14.285193563406869</v>
      </c>
      <c r="W35" s="15">
        <v>14.836928288435839</v>
      </c>
      <c r="X35" s="15">
        <v>15.427612487884105</v>
      </c>
      <c r="Z35" s="17">
        <f t="shared" si="13"/>
        <v>-2.2494705188981445E-2</v>
      </c>
      <c r="AA35" s="17">
        <f t="shared" si="13"/>
        <v>3.0089740647272878E-2</v>
      </c>
      <c r="AB35" s="17">
        <f t="shared" si="13"/>
        <v>3.8244325284269909E-2</v>
      </c>
      <c r="AC35" s="17">
        <f t="shared" si="13"/>
        <v>4.7248466360439778E-2</v>
      </c>
      <c r="AD35" s="17">
        <f t="shared" si="13"/>
        <v>3.862283857618154E-2</v>
      </c>
      <c r="AE35" s="17">
        <f t="shared" si="13"/>
        <v>3.9811758065087854E-2</v>
      </c>
      <c r="AG35" s="13">
        <f t="shared" si="6"/>
        <v>0</v>
      </c>
      <c r="AH35" s="15">
        <f t="shared" si="6"/>
        <v>0.17269436342905209</v>
      </c>
      <c r="AI35" s="15">
        <f t="shared" si="6"/>
        <v>0.13743534798410018</v>
      </c>
      <c r="AJ35" s="15">
        <f t="shared" si="6"/>
        <v>0.18685203229571101</v>
      </c>
      <c r="AK35" s="15">
        <f t="shared" si="6"/>
        <v>0.15877238170547159</v>
      </c>
      <c r="AL35" s="15">
        <f t="shared" si="6"/>
        <v>0.17918111581815666</v>
      </c>
      <c r="AM35" s="15">
        <f t="shared" si="6"/>
        <v>0.18359051424421935</v>
      </c>
      <c r="AO35" s="17">
        <f t="shared" si="7"/>
        <v>0</v>
      </c>
      <c r="AP35" s="17">
        <f t="shared" si="7"/>
        <v>1.3539929227192271E-2</v>
      </c>
      <c r="AQ35" s="17">
        <f t="shared" si="7"/>
        <v>1.0460720927680356E-2</v>
      </c>
      <c r="AR35" s="17">
        <f t="shared" si="7"/>
        <v>1.3698134602759149E-2</v>
      </c>
      <c r="AS35" s="17">
        <f t="shared" si="7"/>
        <v>1.1114471848122864E-2</v>
      </c>
      <c r="AT35" s="17">
        <f t="shared" si="7"/>
        <v>1.2076698918725315E-2</v>
      </c>
      <c r="AU35" s="17">
        <f t="shared" si="7"/>
        <v>1.1900124817654012E-2</v>
      </c>
    </row>
    <row r="36" spans="2:61" ht="4" customHeight="1" x14ac:dyDescent="0.15">
      <c r="B36" s="24"/>
      <c r="C36" s="25"/>
      <c r="D36" s="26"/>
      <c r="E36" s="26"/>
      <c r="F36" s="26"/>
      <c r="G36" s="26"/>
      <c r="H36" s="26"/>
      <c r="I36" s="26"/>
      <c r="K36" s="56"/>
      <c r="L36" s="56"/>
      <c r="M36" s="56"/>
      <c r="N36" s="56"/>
      <c r="O36" s="56"/>
      <c r="P36" s="56"/>
      <c r="Q36" s="115"/>
      <c r="R36" s="25"/>
      <c r="S36" s="26"/>
      <c r="T36" s="26"/>
      <c r="U36" s="26"/>
      <c r="V36" s="26"/>
      <c r="W36" s="26"/>
      <c r="X36" s="26"/>
      <c r="Z36" s="56"/>
      <c r="AA36" s="56"/>
      <c r="AB36" s="56"/>
      <c r="AC36" s="56"/>
      <c r="AD36" s="56"/>
      <c r="AE36" s="56"/>
      <c r="AG36" s="25"/>
      <c r="AH36" s="26"/>
      <c r="AI36" s="26"/>
      <c r="AJ36" s="26"/>
      <c r="AK36" s="26"/>
      <c r="AL36" s="26"/>
      <c r="AM36" s="26"/>
      <c r="AO36" s="56"/>
      <c r="AP36" s="56"/>
      <c r="AQ36" s="56"/>
      <c r="AR36" s="56"/>
      <c r="AS36" s="56"/>
      <c r="AT36" s="56"/>
      <c r="AU36" s="56"/>
    </row>
    <row r="37" spans="2:61" ht="4" customHeight="1" x14ac:dyDescent="0.15">
      <c r="B37" s="20"/>
      <c r="C37" s="18"/>
      <c r="D37" s="19"/>
      <c r="E37" s="19"/>
      <c r="F37" s="19"/>
      <c r="G37" s="19"/>
      <c r="H37" s="19"/>
      <c r="I37" s="19"/>
      <c r="K37" s="17"/>
      <c r="L37" s="17"/>
      <c r="M37" s="17"/>
      <c r="N37" s="17"/>
      <c r="O37" s="17"/>
      <c r="P37" s="17"/>
      <c r="Q37" s="115"/>
      <c r="R37" s="18"/>
      <c r="S37" s="19"/>
      <c r="T37" s="19"/>
      <c r="U37" s="19"/>
      <c r="V37" s="19"/>
      <c r="W37" s="19"/>
      <c r="X37" s="19"/>
      <c r="Z37" s="17"/>
      <c r="AA37" s="17"/>
      <c r="AB37" s="17"/>
      <c r="AC37" s="17"/>
      <c r="AD37" s="17"/>
      <c r="AE37" s="17"/>
      <c r="AG37" s="18"/>
      <c r="AH37" s="19"/>
      <c r="AI37" s="19"/>
      <c r="AJ37" s="19"/>
      <c r="AK37" s="19"/>
      <c r="AL37" s="19"/>
      <c r="AM37" s="19"/>
      <c r="AO37" s="98"/>
      <c r="AP37" s="98"/>
      <c r="AQ37" s="98"/>
      <c r="AR37" s="98"/>
      <c r="AS37" s="98"/>
      <c r="AT37" s="98"/>
      <c r="AU37" s="98"/>
    </row>
    <row r="38" spans="2:61" x14ac:dyDescent="0.15">
      <c r="B38" s="118" t="s">
        <v>74</v>
      </c>
      <c r="D38" s="8"/>
      <c r="E38" s="8"/>
      <c r="F38" s="8"/>
      <c r="G38" s="8"/>
      <c r="H38" s="8"/>
      <c r="I38" s="8"/>
      <c r="K38" s="17"/>
      <c r="L38" s="17"/>
      <c r="M38" s="17"/>
      <c r="N38" s="17"/>
      <c r="O38" s="17"/>
      <c r="P38" s="17"/>
      <c r="Q38" s="115"/>
      <c r="S38" s="8"/>
      <c r="T38" s="8"/>
      <c r="U38" s="8"/>
      <c r="V38" s="8"/>
      <c r="W38" s="8"/>
      <c r="X38" s="8"/>
      <c r="Z38" s="17"/>
      <c r="AA38" s="17"/>
      <c r="AB38" s="17"/>
      <c r="AC38" s="17"/>
      <c r="AD38" s="17"/>
      <c r="AE38" s="17"/>
      <c r="AH38" s="8"/>
      <c r="AI38" s="8"/>
      <c r="AJ38" s="8"/>
      <c r="AK38" s="8"/>
      <c r="AL38" s="8"/>
      <c r="AM38" s="8"/>
      <c r="AO38" s="17"/>
      <c r="AP38" s="17"/>
      <c r="AQ38" s="17"/>
      <c r="AR38" s="17"/>
      <c r="AS38" s="17"/>
      <c r="AT38" s="17"/>
      <c r="AU38" s="17"/>
    </row>
    <row r="39" spans="2:61" x14ac:dyDescent="0.15">
      <c r="B39" s="118"/>
      <c r="C39" s="99">
        <v>156.18956691599999</v>
      </c>
      <c r="D39" s="100">
        <v>158.864619602</v>
      </c>
      <c r="E39" s="100">
        <v>166.51448708152989</v>
      </c>
      <c r="F39" s="100">
        <v>172.02341629076639</v>
      </c>
      <c r="G39" s="100">
        <v>179.24903187566687</v>
      </c>
      <c r="H39" s="100">
        <v>187.36830622552611</v>
      </c>
      <c r="I39" s="100">
        <v>196.08745707160568</v>
      </c>
      <c r="K39" s="17">
        <f t="shared" si="4"/>
        <v>1.7126961415026454E-2</v>
      </c>
      <c r="L39" s="17">
        <f t="shared" si="4"/>
        <v>4.8153374229547907E-2</v>
      </c>
      <c r="M39" s="17">
        <f t="shared" si="4"/>
        <v>3.3083783313935911E-2</v>
      </c>
      <c r="N39" s="17">
        <f t="shared" si="4"/>
        <v>4.2003674503750199E-2</v>
      </c>
      <c r="O39" s="17">
        <f t="shared" si="4"/>
        <v>4.5296056915336891E-2</v>
      </c>
      <c r="P39" s="17">
        <f t="shared" si="4"/>
        <v>4.6534822359896699E-2</v>
      </c>
      <c r="Q39" s="114"/>
      <c r="R39" s="99">
        <v>157.32692593900003</v>
      </c>
      <c r="S39" s="100">
        <v>159.25189846074491</v>
      </c>
      <c r="T39" s="100">
        <v>164.76784814847596</v>
      </c>
      <c r="U39" s="100">
        <v>172.53359027428581</v>
      </c>
      <c r="V39" s="100">
        <v>180.25658622472082</v>
      </c>
      <c r="W39" s="100">
        <v>187.43256812267219</v>
      </c>
      <c r="X39" s="100">
        <v>195.6405398686623</v>
      </c>
      <c r="Z39" s="17">
        <f t="shared" ref="Z39:AE46" si="14">S39/R39-1</f>
        <v>1.2235493131615982E-2</v>
      </c>
      <c r="AA39" s="17">
        <f t="shared" si="14"/>
        <v>3.4636633792411109E-2</v>
      </c>
      <c r="AB39" s="17">
        <f t="shared" si="14"/>
        <v>4.7131416796873937E-2</v>
      </c>
      <c r="AC39" s="17">
        <f t="shared" si="14"/>
        <v>4.4762274628130871E-2</v>
      </c>
      <c r="AD39" s="17">
        <f t="shared" si="14"/>
        <v>3.9809818039077349E-2</v>
      </c>
      <c r="AE39" s="17">
        <f t="shared" si="14"/>
        <v>4.3791598376959229E-2</v>
      </c>
      <c r="AG39" s="99">
        <f t="shared" si="6"/>
        <v>-1.1373590230000445</v>
      </c>
      <c r="AH39" s="100">
        <f t="shared" si="6"/>
        <v>-0.38727885874490653</v>
      </c>
      <c r="AI39" s="100">
        <f t="shared" si="6"/>
        <v>1.74663893305393</v>
      </c>
      <c r="AJ39" s="100">
        <f t="shared" si="6"/>
        <v>-0.51017398351942234</v>
      </c>
      <c r="AK39" s="100">
        <f t="shared" si="6"/>
        <v>-1.0075543490539474</v>
      </c>
      <c r="AL39" s="100">
        <f t="shared" si="6"/>
        <v>-6.4261897146081992E-2</v>
      </c>
      <c r="AM39" s="100">
        <f t="shared" si="6"/>
        <v>0.44691720294338211</v>
      </c>
      <c r="AO39" s="44">
        <f t="shared" si="7"/>
        <v>-7.229271252913394E-3</v>
      </c>
      <c r="AP39" s="44">
        <f t="shared" si="7"/>
        <v>-2.4318633717285154E-3</v>
      </c>
      <c r="AQ39" s="44">
        <f t="shared" si="7"/>
        <v>1.0600605352811376E-2</v>
      </c>
      <c r="AR39" s="44">
        <f t="shared" si="7"/>
        <v>-2.956954542639334E-3</v>
      </c>
      <c r="AS39" s="44">
        <f t="shared" si="7"/>
        <v>-5.5895563660450787E-3</v>
      </c>
      <c r="AT39" s="44">
        <f t="shared" si="7"/>
        <v>-3.4285342077811087E-4</v>
      </c>
      <c r="AU39" s="44">
        <f t="shared" si="7"/>
        <v>2.2843793175146843E-3</v>
      </c>
    </row>
    <row r="40" spans="2:61" ht="13" customHeight="1" x14ac:dyDescent="0.15">
      <c r="B40" s="29" t="s">
        <v>6</v>
      </c>
      <c r="C40" s="62">
        <v>130.15425506643405</v>
      </c>
      <c r="D40" s="63">
        <v>133.449902262633</v>
      </c>
      <c r="E40" s="63">
        <v>139.88547629525937</v>
      </c>
      <c r="F40" s="63">
        <v>143.62312385496057</v>
      </c>
      <c r="G40" s="63">
        <v>148.94485267698329</v>
      </c>
      <c r="H40" s="63">
        <v>155.2119556327977</v>
      </c>
      <c r="I40" s="63">
        <v>161.97158386402617</v>
      </c>
      <c r="K40" s="17">
        <f t="shared" si="4"/>
        <v>2.5321086848192342E-2</v>
      </c>
      <c r="L40" s="17">
        <f t="shared" si="4"/>
        <v>4.8224644031293229E-2</v>
      </c>
      <c r="M40" s="17">
        <f t="shared" si="4"/>
        <v>2.6719339696224642E-2</v>
      </c>
      <c r="N40" s="17">
        <f t="shared" si="4"/>
        <v>3.7053426211484775E-2</v>
      </c>
      <c r="O40" s="17">
        <f t="shared" si="4"/>
        <v>4.2076666921856409E-2</v>
      </c>
      <c r="P40" s="17">
        <f t="shared" si="4"/>
        <v>4.3550950721995108E-2</v>
      </c>
      <c r="Q40" s="114"/>
      <c r="R40" s="62">
        <v>131.29161408943406</v>
      </c>
      <c r="S40" s="63">
        <v>134.37479280910989</v>
      </c>
      <c r="T40" s="63">
        <v>138.44100210959152</v>
      </c>
      <c r="U40" s="63">
        <v>144.26974188379447</v>
      </c>
      <c r="V40" s="63">
        <v>149.88039668830334</v>
      </c>
      <c r="W40" s="63">
        <v>155.04597580108234</v>
      </c>
      <c r="X40" s="63">
        <v>161.30983322344608</v>
      </c>
      <c r="Z40" s="17">
        <f t="shared" si="14"/>
        <v>2.3483439830175312E-2</v>
      </c>
      <c r="AA40" s="17">
        <f t="shared" si="14"/>
        <v>3.0260208893925666E-2</v>
      </c>
      <c r="AB40" s="17">
        <f t="shared" si="14"/>
        <v>4.2102698516938153E-2</v>
      </c>
      <c r="AC40" s="17">
        <f t="shared" si="14"/>
        <v>3.8890031487185395E-2</v>
      </c>
      <c r="AD40" s="17">
        <f t="shared" si="14"/>
        <v>3.4464674680048546E-2</v>
      </c>
      <c r="AE40" s="17">
        <f t="shared" si="14"/>
        <v>4.0399999999999991E-2</v>
      </c>
      <c r="AG40" s="62">
        <f t="shared" si="6"/>
        <v>-1.1373590230000161</v>
      </c>
      <c r="AH40" s="63">
        <f t="shared" si="6"/>
        <v>-0.92489054647688818</v>
      </c>
      <c r="AI40" s="63">
        <f t="shared" si="6"/>
        <v>1.4444741856678434</v>
      </c>
      <c r="AJ40" s="63">
        <f t="shared" si="6"/>
        <v>-0.64661802883389896</v>
      </c>
      <c r="AK40" s="63">
        <f t="shared" si="6"/>
        <v>-0.93554401132004728</v>
      </c>
      <c r="AL40" s="63">
        <f t="shared" si="6"/>
        <v>0.16597983171536157</v>
      </c>
      <c r="AM40" s="63">
        <f t="shared" si="6"/>
        <v>0.66175064058009525</v>
      </c>
      <c r="AO40" s="17">
        <f t="shared" si="7"/>
        <v>-8.6628459166117056E-3</v>
      </c>
      <c r="AP40" s="17">
        <f t="shared" si="7"/>
        <v>-6.8829170050573873E-3</v>
      </c>
      <c r="AQ40" s="17">
        <f t="shared" si="7"/>
        <v>1.0433861093582575E-2</v>
      </c>
      <c r="AR40" s="17">
        <f t="shared" si="7"/>
        <v>-4.4820072483024997E-3</v>
      </c>
      <c r="AS40" s="17">
        <f t="shared" si="7"/>
        <v>-6.2419371178049632E-3</v>
      </c>
      <c r="AT40" s="17">
        <f t="shared" si="7"/>
        <v>1.0705200883660559E-3</v>
      </c>
      <c r="AU40" s="17">
        <f t="shared" si="7"/>
        <v>4.1023577258518795E-3</v>
      </c>
      <c r="BF40" s="101"/>
      <c r="BH40" s="69"/>
      <c r="BI40" s="69"/>
    </row>
    <row r="41" spans="2:61" ht="13" customHeight="1" x14ac:dyDescent="0.15">
      <c r="B41" s="32" t="s">
        <v>4</v>
      </c>
      <c r="C41" s="62">
        <v>28.351607222657602</v>
      </c>
      <c r="D41" s="63">
        <v>28.706106123031521</v>
      </c>
      <c r="E41" s="63">
        <v>30.083837132451855</v>
      </c>
      <c r="F41" s="63">
        <v>31.533488655584954</v>
      </c>
      <c r="G41" s="63">
        <v>32.532555129544519</v>
      </c>
      <c r="H41" s="63">
        <v>34.180618266682949</v>
      </c>
      <c r="I41" s="63">
        <v>35.853940003015467</v>
      </c>
      <c r="K41" s="17">
        <f t="shared" si="4"/>
        <v>1.2503661524014609E-2</v>
      </c>
      <c r="L41" s="17">
        <f t="shared" si="4"/>
        <v>4.7994353658260547E-2</v>
      </c>
      <c r="M41" s="17">
        <f t="shared" si="4"/>
        <v>4.8187055286552427E-2</v>
      </c>
      <c r="N41" s="17">
        <f t="shared" si="4"/>
        <v>3.1682713095007253E-2</v>
      </c>
      <c r="O41" s="17">
        <f t="shared" si="4"/>
        <v>5.0658890166353387E-2</v>
      </c>
      <c r="P41" s="17">
        <f t="shared" si="4"/>
        <v>4.8955279956523379E-2</v>
      </c>
      <c r="Q41" s="114"/>
      <c r="R41" s="62">
        <v>28.351607222657602</v>
      </c>
      <c r="S41" s="63">
        <v>28.970135257010138</v>
      </c>
      <c r="T41" s="63">
        <v>29.913548758812755</v>
      </c>
      <c r="U41" s="63">
        <v>31.436468695392698</v>
      </c>
      <c r="V41" s="63">
        <v>32.534668113007591</v>
      </c>
      <c r="W41" s="63">
        <v>33.869852021655007</v>
      </c>
      <c r="X41" s="63">
        <v>35.320096256212949</v>
      </c>
      <c r="Z41" s="17">
        <f t="shared" si="14"/>
        <v>2.1816330534454975E-2</v>
      </c>
      <c r="AA41" s="17">
        <f t="shared" si="14"/>
        <v>3.2565036146123383E-2</v>
      </c>
      <c r="AB41" s="17">
        <f t="shared" si="14"/>
        <v>5.0910707681624645E-2</v>
      </c>
      <c r="AC41" s="17">
        <f t="shared" si="14"/>
        <v>3.4933930660470347E-2</v>
      </c>
      <c r="AD41" s="17">
        <f t="shared" si="14"/>
        <v>4.1038805252591404E-2</v>
      </c>
      <c r="AE41" s="17">
        <f t="shared" si="14"/>
        <v>4.2818144987191387E-2</v>
      </c>
      <c r="AG41" s="62">
        <f t="shared" si="6"/>
        <v>0</v>
      </c>
      <c r="AH41" s="63">
        <f t="shared" si="6"/>
        <v>-0.26402913397861738</v>
      </c>
      <c r="AI41" s="63">
        <f t="shared" si="6"/>
        <v>0.17028837363909943</v>
      </c>
      <c r="AJ41" s="63">
        <f t="shared" si="6"/>
        <v>9.7019960192255894E-2</v>
      </c>
      <c r="AK41" s="63">
        <f t="shared" si="6"/>
        <v>-2.1129834630713162E-3</v>
      </c>
      <c r="AL41" s="63">
        <f t="shared" si="6"/>
        <v>0.31076624502794203</v>
      </c>
      <c r="AM41" s="63">
        <f t="shared" si="6"/>
        <v>0.53384374680251767</v>
      </c>
      <c r="AO41" s="17">
        <f t="shared" si="7"/>
        <v>0</v>
      </c>
      <c r="AP41" s="17">
        <f t="shared" si="7"/>
        <v>-9.1138384973445952E-3</v>
      </c>
      <c r="AQ41" s="17">
        <f t="shared" si="7"/>
        <v>5.6926837739013081E-3</v>
      </c>
      <c r="AR41" s="17">
        <f t="shared" si="7"/>
        <v>3.0862232374870846E-3</v>
      </c>
      <c r="AS41" s="17">
        <f t="shared" si="7"/>
        <v>-6.4945597592402926E-5</v>
      </c>
      <c r="AT41" s="17">
        <f t="shared" si="7"/>
        <v>9.1753056620751394E-3</v>
      </c>
      <c r="AU41" s="17">
        <f t="shared" si="7"/>
        <v>1.511444767675596E-2</v>
      </c>
      <c r="BH41" s="69"/>
      <c r="BI41" s="69"/>
    </row>
    <row r="42" spans="2:61" ht="13" customHeight="1" x14ac:dyDescent="0.15">
      <c r="B42" s="22" t="s">
        <v>64</v>
      </c>
      <c r="C42" s="62">
        <v>4.8713201381751983</v>
      </c>
      <c r="D42" s="63">
        <v>5.0605907484802728</v>
      </c>
      <c r="E42" s="63">
        <v>5.3618617411242715</v>
      </c>
      <c r="F42" s="63">
        <v>5.58094863313839</v>
      </c>
      <c r="G42" s="63">
        <v>5.7577624697118575</v>
      </c>
      <c r="H42" s="63">
        <v>6.0615492643658042</v>
      </c>
      <c r="I42" s="63">
        <v>6.3582877472789843</v>
      </c>
      <c r="K42" s="17">
        <f t="shared" si="4"/>
        <v>3.8854069315176654E-2</v>
      </c>
      <c r="L42" s="17">
        <f t="shared" si="4"/>
        <v>5.9532771492038172E-2</v>
      </c>
      <c r="M42" s="17">
        <f t="shared" si="4"/>
        <v>4.0860227770099122E-2</v>
      </c>
      <c r="N42" s="17">
        <f t="shared" si="4"/>
        <v>3.1681681412293994E-2</v>
      </c>
      <c r="O42" s="17">
        <f t="shared" si="4"/>
        <v>5.27612586055759E-2</v>
      </c>
      <c r="P42" s="17">
        <f t="shared" si="4"/>
        <v>4.8954231001243409E-2</v>
      </c>
      <c r="Q42" s="114"/>
      <c r="R42" s="62">
        <v>4.8713201381751983</v>
      </c>
      <c r="S42" s="63">
        <v>5.1071363644901524</v>
      </c>
      <c r="T42" s="63">
        <v>5.3315111342002339</v>
      </c>
      <c r="U42" s="63">
        <v>5.5637775735028354</v>
      </c>
      <c r="V42" s="63">
        <v>5.758136435323669</v>
      </c>
      <c r="W42" s="63">
        <v>6.0064383565044626</v>
      </c>
      <c r="X42" s="63">
        <v>6.2636166412869931</v>
      </c>
      <c r="Z42" s="17">
        <f t="shared" si="14"/>
        <v>4.8409100536613625E-2</v>
      </c>
      <c r="AA42" s="17">
        <f t="shared" si="14"/>
        <v>4.3933577194091855E-2</v>
      </c>
      <c r="AB42" s="17">
        <f t="shared" si="14"/>
        <v>4.3564841834929924E-2</v>
      </c>
      <c r="AC42" s="17">
        <f t="shared" si="14"/>
        <v>3.493289572653957E-2</v>
      </c>
      <c r="AD42" s="17">
        <f t="shared" si="14"/>
        <v>4.3121923901901393E-2</v>
      </c>
      <c r="AE42" s="17">
        <f t="shared" si="14"/>
        <v>4.2817102169046439E-2</v>
      </c>
      <c r="AG42" s="62">
        <f t="shared" si="6"/>
        <v>0</v>
      </c>
      <c r="AH42" s="63">
        <f t="shared" si="6"/>
        <v>-4.6545616009879609E-2</v>
      </c>
      <c r="AI42" s="63">
        <f t="shared" si="6"/>
        <v>3.0350606924037571E-2</v>
      </c>
      <c r="AJ42" s="63">
        <f t="shared" si="6"/>
        <v>1.7171059635554542E-2</v>
      </c>
      <c r="AK42" s="63">
        <f t="shared" si="6"/>
        <v>-3.739656118115775E-4</v>
      </c>
      <c r="AL42" s="63">
        <f t="shared" si="6"/>
        <v>5.5110907861341651E-2</v>
      </c>
      <c r="AM42" s="63">
        <f t="shared" si="6"/>
        <v>9.4671105991991134E-2</v>
      </c>
      <c r="AO42" s="17">
        <f t="shared" si="7"/>
        <v>0</v>
      </c>
      <c r="AP42" s="17">
        <f t="shared" si="7"/>
        <v>-9.1138384973447062E-3</v>
      </c>
      <c r="AQ42" s="17">
        <f t="shared" si="7"/>
        <v>5.6926837739015301E-3</v>
      </c>
      <c r="AR42" s="17">
        <f t="shared" si="7"/>
        <v>3.0862232374870846E-3</v>
      </c>
      <c r="AS42" s="17">
        <f t="shared" si="7"/>
        <v>-6.4945597592513948E-5</v>
      </c>
      <c r="AT42" s="17">
        <f t="shared" si="7"/>
        <v>9.1753056620753615E-3</v>
      </c>
      <c r="AU42" s="17">
        <f t="shared" si="7"/>
        <v>1.5114447676756182E-2</v>
      </c>
      <c r="BH42" s="69"/>
      <c r="BI42" s="69"/>
    </row>
    <row r="43" spans="2:61" ht="13" customHeight="1" x14ac:dyDescent="0.15">
      <c r="B43" s="32" t="s">
        <v>5</v>
      </c>
      <c r="C43" s="62">
        <v>101.80264784377644</v>
      </c>
      <c r="D43" s="63">
        <v>104.74379613960149</v>
      </c>
      <c r="E43" s="63">
        <v>109.8016391628075</v>
      </c>
      <c r="F43" s="63">
        <v>112.08963519937561</v>
      </c>
      <c r="G43" s="63">
        <v>116.41229754743877</v>
      </c>
      <c r="H43" s="63">
        <v>121.03133736611474</v>
      </c>
      <c r="I43" s="63">
        <v>126.11764386101071</v>
      </c>
      <c r="K43" s="17">
        <f t="shared" si="4"/>
        <v>2.889068563657049E-2</v>
      </c>
      <c r="L43" s="17">
        <f t="shared" si="4"/>
        <v>4.8287757457873504E-2</v>
      </c>
      <c r="M43" s="17">
        <f t="shared" si="4"/>
        <v>2.083753989478776E-2</v>
      </c>
      <c r="N43" s="17">
        <f t="shared" si="4"/>
        <v>3.8564335947515405E-2</v>
      </c>
      <c r="O43" s="17">
        <f t="shared" si="4"/>
        <v>3.9678280697051704E-2</v>
      </c>
      <c r="P43" s="17">
        <f t="shared" si="4"/>
        <v>4.2024707035253961E-2</v>
      </c>
      <c r="Q43" s="114"/>
      <c r="R43" s="62">
        <v>102.94000686677646</v>
      </c>
      <c r="S43" s="63">
        <v>105.40465755209975</v>
      </c>
      <c r="T43" s="63">
        <v>108.52745335077877</v>
      </c>
      <c r="U43" s="63">
        <v>112.83327318840176</v>
      </c>
      <c r="V43" s="63">
        <v>117.34572857529574</v>
      </c>
      <c r="W43" s="63">
        <v>121.17612377942733</v>
      </c>
      <c r="X43" s="63">
        <v>125.98973696723313</v>
      </c>
      <c r="Z43" s="17">
        <f t="shared" si="14"/>
        <v>2.3942592975664034E-2</v>
      </c>
      <c r="AA43" s="17">
        <f t="shared" si="14"/>
        <v>2.9626734446108083E-2</v>
      </c>
      <c r="AB43" s="17">
        <f t="shared" si="14"/>
        <v>3.9674936660550442E-2</v>
      </c>
      <c r="AC43" s="17">
        <f t="shared" si="14"/>
        <v>3.999224040376248E-2</v>
      </c>
      <c r="AD43" s="17">
        <f t="shared" si="14"/>
        <v>3.2641965333009892E-2</v>
      </c>
      <c r="AE43" s="17">
        <f t="shared" si="14"/>
        <v>3.9724106017517524E-2</v>
      </c>
      <c r="AG43" s="62">
        <f t="shared" si="6"/>
        <v>-1.1373590230000161</v>
      </c>
      <c r="AH43" s="63">
        <f t="shared" si="6"/>
        <v>-0.66086141249826369</v>
      </c>
      <c r="AI43" s="63">
        <f t="shared" si="6"/>
        <v>1.2741858120287333</v>
      </c>
      <c r="AJ43" s="63">
        <f t="shared" si="6"/>
        <v>-0.74363798902615486</v>
      </c>
      <c r="AK43" s="63">
        <f t="shared" si="6"/>
        <v>-0.93343102785696885</v>
      </c>
      <c r="AL43" s="63">
        <f t="shared" si="6"/>
        <v>-0.14478641331258757</v>
      </c>
      <c r="AM43" s="63">
        <f t="shared" si="6"/>
        <v>0.12790689377757758</v>
      </c>
      <c r="AO43" s="17">
        <f t="shared" si="7"/>
        <v>-1.1048756043624208E-2</v>
      </c>
      <c r="AP43" s="17">
        <f t="shared" si="7"/>
        <v>-6.2697553205521839E-3</v>
      </c>
      <c r="AQ43" s="17">
        <f t="shared" si="7"/>
        <v>1.174067733728501E-2</v>
      </c>
      <c r="AR43" s="17">
        <f t="shared" si="7"/>
        <v>-6.5905913035464447E-3</v>
      </c>
      <c r="AS43" s="17">
        <f t="shared" si="7"/>
        <v>-7.9545377508821735E-3</v>
      </c>
      <c r="AT43" s="17">
        <f t="shared" si="7"/>
        <v>-1.1948427528193362E-3</v>
      </c>
      <c r="AU43" s="17">
        <f t="shared" si="7"/>
        <v>1.0152167696868553E-3</v>
      </c>
      <c r="BH43" s="69"/>
      <c r="BI43" s="69"/>
    </row>
    <row r="44" spans="2:61" x14ac:dyDescent="0.15">
      <c r="B44" s="29" t="s">
        <v>16</v>
      </c>
      <c r="C44" s="62">
        <v>26.035311849565957</v>
      </c>
      <c r="D44" s="63">
        <v>25.414717339367012</v>
      </c>
      <c r="E44" s="63">
        <v>26.629010786270534</v>
      </c>
      <c r="F44" s="63">
        <v>28.400292435805824</v>
      </c>
      <c r="G44" s="63">
        <v>30.304179198683595</v>
      </c>
      <c r="H44" s="63">
        <v>32.156350592728401</v>
      </c>
      <c r="I44" s="63">
        <v>34.115873207579497</v>
      </c>
      <c r="K44" s="85">
        <f t="shared" si="4"/>
        <v>-2.3836645928606015E-2</v>
      </c>
      <c r="L44" s="17">
        <f t="shared" si="4"/>
        <v>4.7779144292216857E-2</v>
      </c>
      <c r="M44" s="17">
        <f t="shared" si="4"/>
        <v>6.6516990201098025E-2</v>
      </c>
      <c r="N44" s="17">
        <f t="shared" si="4"/>
        <v>6.7037576010218647E-2</v>
      </c>
      <c r="O44" s="17">
        <f t="shared" si="4"/>
        <v>6.1119338751971952E-2</v>
      </c>
      <c r="P44" s="17">
        <f t="shared" si="4"/>
        <v>6.0937344528586124E-2</v>
      </c>
      <c r="Q44" s="114"/>
      <c r="R44" s="62">
        <v>26.035311849565957</v>
      </c>
      <c r="S44" s="63">
        <v>24.87710565163502</v>
      </c>
      <c r="T44" s="63">
        <v>26.32684603888444</v>
      </c>
      <c r="U44" s="63">
        <v>28.263848390491347</v>
      </c>
      <c r="V44" s="63">
        <v>30.376189536417485</v>
      </c>
      <c r="W44" s="63">
        <v>32.386592321589852</v>
      </c>
      <c r="X44" s="63">
        <v>34.330706645216225</v>
      </c>
      <c r="Z44" s="85">
        <f t="shared" si="14"/>
        <v>-4.4485973689239566E-2</v>
      </c>
      <c r="AA44" s="17">
        <f t="shared" si="14"/>
        <v>5.8276087562225687E-2</v>
      </c>
      <c r="AB44" s="17">
        <f t="shared" si="14"/>
        <v>7.3575176788969632E-2</v>
      </c>
      <c r="AC44" s="17">
        <f t="shared" si="14"/>
        <v>7.4736501439654601E-2</v>
      </c>
      <c r="AD44" s="17">
        <f t="shared" si="14"/>
        <v>6.61835080651616E-2</v>
      </c>
      <c r="AE44" s="17">
        <f t="shared" si="14"/>
        <v>6.0028369280777039E-2</v>
      </c>
      <c r="AG44" s="62">
        <f t="shared" si="6"/>
        <v>0</v>
      </c>
      <c r="AH44" s="63">
        <f t="shared" si="6"/>
        <v>0.5376116877319923</v>
      </c>
      <c r="AI44" s="63">
        <f t="shared" si="6"/>
        <v>0.30216474738609378</v>
      </c>
      <c r="AJ44" s="63">
        <f t="shared" si="6"/>
        <v>0.13644404531447663</v>
      </c>
      <c r="AK44" s="63">
        <f t="shared" si="6"/>
        <v>-7.2010337733889429E-2</v>
      </c>
      <c r="AL44" s="63">
        <f t="shared" si="6"/>
        <v>-0.23024172886145067</v>
      </c>
      <c r="AM44" s="63">
        <f t="shared" si="6"/>
        <v>-0.21483343763672735</v>
      </c>
      <c r="AO44" s="17">
        <f t="shared" si="7"/>
        <v>0</v>
      </c>
      <c r="AP44" s="17">
        <f t="shared" si="7"/>
        <v>2.1610700829123974E-2</v>
      </c>
      <c r="AQ44" s="17">
        <f t="shared" si="7"/>
        <v>1.1477438161023867E-2</v>
      </c>
      <c r="AR44" s="17">
        <f t="shared" si="7"/>
        <v>4.8275112231488393E-3</v>
      </c>
      <c r="AS44" s="17">
        <f t="shared" si="7"/>
        <v>-2.3706178698799096E-3</v>
      </c>
      <c r="AT44" s="17">
        <f t="shared" si="7"/>
        <v>-7.1091680957111603E-3</v>
      </c>
      <c r="AU44" s="17">
        <f t="shared" si="7"/>
        <v>-6.2577633445439762E-3</v>
      </c>
      <c r="BH44" s="69"/>
      <c r="BI44" s="69"/>
    </row>
    <row r="45" spans="2:61" x14ac:dyDescent="0.15">
      <c r="B45" s="32" t="s">
        <v>4</v>
      </c>
      <c r="C45" s="62">
        <v>5.8787734156319935</v>
      </c>
      <c r="D45" s="63">
        <v>5.7909466635134912</v>
      </c>
      <c r="E45" s="63">
        <v>6.0122826104979055</v>
      </c>
      <c r="F45" s="63">
        <v>6.5787242177387384</v>
      </c>
      <c r="G45" s="63">
        <v>6.9586397368699124</v>
      </c>
      <c r="H45" s="63">
        <v>7.396785709557431</v>
      </c>
      <c r="I45" s="63">
        <v>7.827054038767308</v>
      </c>
      <c r="K45" s="85">
        <f t="shared" si="4"/>
        <v>-1.4939638919398757E-2</v>
      </c>
      <c r="L45" s="17">
        <f t="shared" si="4"/>
        <v>3.8221030143303913E-2</v>
      </c>
      <c r="M45" s="17">
        <f t="shared" si="4"/>
        <v>9.4214068755148483E-2</v>
      </c>
      <c r="N45" s="17">
        <f t="shared" si="4"/>
        <v>5.7749117694700924E-2</v>
      </c>
      <c r="O45" s="17">
        <f t="shared" si="4"/>
        <v>6.2964313322046328E-2</v>
      </c>
      <c r="P45" s="17">
        <f t="shared" si="4"/>
        <v>5.8169635582915991E-2</v>
      </c>
      <c r="Q45" s="114"/>
      <c r="R45" s="62">
        <v>5.8787734156319935</v>
      </c>
      <c r="S45" s="63">
        <v>5.7664508972848658</v>
      </c>
      <c r="T45" s="63">
        <v>5.9440600290886252</v>
      </c>
      <c r="U45" s="63">
        <v>6.6334694851788676</v>
      </c>
      <c r="V45" s="63">
        <v>7.067052325899688</v>
      </c>
      <c r="W45" s="63">
        <v>7.5479009942495132</v>
      </c>
      <c r="X45" s="63">
        <v>8.0149313183932058</v>
      </c>
      <c r="Z45" s="85">
        <f t="shared" si="14"/>
        <v>-1.9106454766304792E-2</v>
      </c>
      <c r="AA45" s="17">
        <f t="shared" si="14"/>
        <v>3.0800423859914661E-2</v>
      </c>
      <c r="AB45" s="17">
        <f t="shared" si="14"/>
        <v>0.11598292290395085</v>
      </c>
      <c r="AC45" s="17">
        <f t="shared" si="14"/>
        <v>6.5362905744810185E-2</v>
      </c>
      <c r="AD45" s="17">
        <f t="shared" si="14"/>
        <v>6.8040909586531084E-2</v>
      </c>
      <c r="AE45" s="17">
        <f t="shared" si="14"/>
        <v>6.1875523340794603E-2</v>
      </c>
      <c r="AG45" s="62">
        <f t="shared" si="6"/>
        <v>0</v>
      </c>
      <c r="AH45" s="63">
        <f t="shared" si="6"/>
        <v>2.4495766228625371E-2</v>
      </c>
      <c r="AI45" s="63">
        <f t="shared" si="6"/>
        <v>6.8222581409280281E-2</v>
      </c>
      <c r="AJ45" s="63">
        <f t="shared" si="6"/>
        <v>-5.4745267440129197E-2</v>
      </c>
      <c r="AK45" s="63">
        <f t="shared" si="6"/>
        <v>-0.10841258902977557</v>
      </c>
      <c r="AL45" s="63">
        <f t="shared" si="6"/>
        <v>-0.15111528469208224</v>
      </c>
      <c r="AM45" s="63">
        <f t="shared" si="6"/>
        <v>-0.18787727962589784</v>
      </c>
      <c r="AO45" s="17">
        <f t="shared" si="7"/>
        <v>0</v>
      </c>
      <c r="AP45" s="17">
        <f t="shared" si="7"/>
        <v>4.2479796784811175E-3</v>
      </c>
      <c r="AQ45" s="17">
        <f t="shared" si="7"/>
        <v>1.1477438161024089E-2</v>
      </c>
      <c r="AR45" s="17">
        <f t="shared" si="7"/>
        <v>-8.2528859991662928E-3</v>
      </c>
      <c r="AS45" s="17">
        <f t="shared" si="7"/>
        <v>-1.5340566905449382E-2</v>
      </c>
      <c r="AT45" s="17">
        <f t="shared" si="7"/>
        <v>-2.0020835568353657E-2</v>
      </c>
      <c r="AU45" s="17">
        <f t="shared" si="7"/>
        <v>-2.3440909492854267E-2</v>
      </c>
      <c r="BH45" s="69"/>
      <c r="BI45" s="69"/>
    </row>
    <row r="46" spans="2:61" x14ac:dyDescent="0.15">
      <c r="B46" s="32" t="s">
        <v>5</v>
      </c>
      <c r="C46" s="62">
        <v>20.156538433933964</v>
      </c>
      <c r="D46" s="63">
        <v>19.623770675853521</v>
      </c>
      <c r="E46" s="63">
        <v>20.616728175772629</v>
      </c>
      <c r="F46" s="63">
        <v>21.821568218067085</v>
      </c>
      <c r="G46" s="63">
        <v>23.345539461813683</v>
      </c>
      <c r="H46" s="63">
        <v>24.75956488317097</v>
      </c>
      <c r="I46" s="63">
        <v>26.288819168812189</v>
      </c>
      <c r="K46" s="85">
        <f t="shared" si="4"/>
        <v>-2.6431510540694703E-2</v>
      </c>
      <c r="L46" s="17">
        <f t="shared" si="4"/>
        <v>5.0599730109000651E-2</v>
      </c>
      <c r="M46" s="17">
        <f t="shared" si="4"/>
        <v>5.8439924706884527E-2</v>
      </c>
      <c r="N46" s="17">
        <f t="shared" si="4"/>
        <v>6.9837842473889244E-2</v>
      </c>
      <c r="O46" s="17">
        <f t="shared" si="4"/>
        <v>6.0569404432491591E-2</v>
      </c>
      <c r="P46" s="17">
        <f t="shared" si="4"/>
        <v>6.1764182563670555E-2</v>
      </c>
      <c r="Q46" s="114"/>
      <c r="R46" s="62">
        <v>20.156538433933964</v>
      </c>
      <c r="S46" s="63">
        <v>19.110654754350154</v>
      </c>
      <c r="T46" s="63">
        <v>20.382786009795815</v>
      </c>
      <c r="U46" s="63">
        <v>21.63037890531248</v>
      </c>
      <c r="V46" s="63">
        <v>23.309137210517797</v>
      </c>
      <c r="W46" s="63">
        <v>24.838691327340339</v>
      </c>
      <c r="X46" s="63">
        <v>26.315775326823019</v>
      </c>
      <c r="Z46" s="85">
        <f t="shared" si="14"/>
        <v>-5.1888060195050212E-2</v>
      </c>
      <c r="AA46" s="17">
        <f t="shared" si="14"/>
        <v>6.6566597105004233E-2</v>
      </c>
      <c r="AB46" s="17">
        <f t="shared" si="14"/>
        <v>6.1208163345142452E-2</v>
      </c>
      <c r="AC46" s="17">
        <f t="shared" si="14"/>
        <v>7.761113721373647E-2</v>
      </c>
      <c r="AD46" s="17">
        <f t="shared" si="14"/>
        <v>6.5620366082548953E-2</v>
      </c>
      <c r="AE46" s="17">
        <f t="shared" si="14"/>
        <v>5.9467062093437661E-2</v>
      </c>
      <c r="AG46" s="62">
        <f t="shared" si="6"/>
        <v>0</v>
      </c>
      <c r="AH46" s="63">
        <f t="shared" si="6"/>
        <v>0.51311592150336693</v>
      </c>
      <c r="AI46" s="63">
        <f t="shared" si="6"/>
        <v>0.2339421659768135</v>
      </c>
      <c r="AJ46" s="63">
        <f t="shared" si="6"/>
        <v>0.19118931275460582</v>
      </c>
      <c r="AK46" s="63">
        <f t="shared" si="6"/>
        <v>3.6402251295886145E-2</v>
      </c>
      <c r="AL46" s="63">
        <f t="shared" si="6"/>
        <v>-7.9126444169368426E-2</v>
      </c>
      <c r="AM46" s="63">
        <f t="shared" si="6"/>
        <v>-2.6956158010829512E-2</v>
      </c>
      <c r="AO46" s="17">
        <f t="shared" si="7"/>
        <v>0</v>
      </c>
      <c r="AP46" s="17">
        <f t="shared" si="7"/>
        <v>2.6849730064144817E-2</v>
      </c>
      <c r="AQ46" s="17">
        <f t="shared" si="7"/>
        <v>1.1477438161023867E-2</v>
      </c>
      <c r="AR46" s="17">
        <f t="shared" si="7"/>
        <v>8.8389257345671268E-3</v>
      </c>
      <c r="AS46" s="17">
        <f t="shared" si="7"/>
        <v>1.5617159471461584E-3</v>
      </c>
      <c r="AT46" s="17">
        <f t="shared" si="7"/>
        <v>-3.1856124433686794E-3</v>
      </c>
      <c r="AU46" s="17">
        <f t="shared" si="7"/>
        <v>-1.0243345550740024E-3</v>
      </c>
      <c r="BH46" s="69"/>
      <c r="BI46" s="69"/>
    </row>
    <row r="47" spans="2:61" ht="4" customHeight="1" x14ac:dyDescent="0.15">
      <c r="C47" s="36"/>
      <c r="D47" s="37"/>
      <c r="E47" s="37"/>
      <c r="F47" s="37"/>
      <c r="G47" s="37"/>
      <c r="H47" s="37"/>
      <c r="I47" s="37"/>
      <c r="L47" s="36"/>
      <c r="M47" s="36"/>
      <c r="N47" s="36"/>
      <c r="O47" s="36"/>
      <c r="P47" s="36"/>
      <c r="R47" s="36"/>
      <c r="S47" s="37"/>
      <c r="T47" s="37"/>
      <c r="U47" s="37"/>
      <c r="V47" s="37"/>
      <c r="W47" s="37"/>
      <c r="X47" s="37"/>
      <c r="AA47" s="36"/>
      <c r="AB47" s="36"/>
      <c r="AC47" s="36"/>
      <c r="AD47" s="36"/>
      <c r="AE47" s="36"/>
      <c r="AG47" s="36"/>
      <c r="AH47" s="37"/>
      <c r="AI47" s="37"/>
      <c r="AJ47" s="37"/>
      <c r="AK47" s="37"/>
      <c r="AL47" s="37"/>
      <c r="AM47" s="37"/>
      <c r="AO47" s="36"/>
      <c r="AP47" s="36"/>
      <c r="AQ47" s="36"/>
      <c r="AR47" s="36"/>
      <c r="AS47" s="36"/>
      <c r="AT47" s="36"/>
      <c r="AU47" s="36"/>
      <c r="BH47" s="69"/>
      <c r="BI47" s="69"/>
    </row>
    <row r="48" spans="2:61" x14ac:dyDescent="0.15">
      <c r="B48" s="38" t="s">
        <v>75</v>
      </c>
      <c r="K48" s="38"/>
      <c r="L48" s="39"/>
      <c r="Z48" s="38"/>
      <c r="AA48" s="39"/>
      <c r="BH48" s="69"/>
      <c r="BI48" s="69"/>
    </row>
    <row r="49" spans="2:61" x14ac:dyDescent="0.15">
      <c r="C49" s="102"/>
      <c r="D49" s="102"/>
      <c r="E49" s="102"/>
      <c r="F49" s="102"/>
      <c r="G49" s="102"/>
      <c r="H49" s="102"/>
      <c r="I49" s="102"/>
      <c r="R49" s="102"/>
      <c r="S49" s="102"/>
      <c r="T49" s="102"/>
      <c r="U49" s="102"/>
      <c r="V49" s="102"/>
      <c r="W49" s="102"/>
      <c r="X49" s="102"/>
      <c r="AG49" s="102"/>
      <c r="AH49" s="102"/>
      <c r="AI49" s="102"/>
      <c r="AJ49" s="102"/>
      <c r="AK49" s="102"/>
      <c r="AL49" s="102"/>
      <c r="AM49" s="102"/>
      <c r="AO49" s="102"/>
      <c r="AP49" s="102"/>
      <c r="AQ49" s="102"/>
      <c r="AR49" s="102"/>
      <c r="AS49" s="102"/>
      <c r="AT49" s="102"/>
      <c r="AU49" s="102"/>
      <c r="BH49" s="69"/>
      <c r="BI49" s="69"/>
    </row>
    <row r="50" spans="2:61" x14ac:dyDescent="0.15">
      <c r="C50" s="102"/>
      <c r="D50" s="102"/>
      <c r="E50" s="102"/>
      <c r="F50" s="102"/>
      <c r="G50" s="102"/>
      <c r="H50" s="102"/>
      <c r="I50" s="102"/>
      <c r="R50" s="102"/>
      <c r="S50" s="102"/>
      <c r="T50" s="102"/>
      <c r="U50" s="102"/>
      <c r="V50" s="102"/>
      <c r="W50" s="102"/>
      <c r="X50" s="102"/>
      <c r="AG50" s="102"/>
      <c r="AH50" s="102"/>
      <c r="AI50" s="102"/>
      <c r="AJ50" s="102"/>
      <c r="AK50" s="102"/>
      <c r="AL50" s="102"/>
      <c r="AM50" s="102"/>
      <c r="AO50" s="102"/>
      <c r="AP50" s="102"/>
      <c r="AQ50" s="102"/>
      <c r="AR50" s="102"/>
      <c r="AS50" s="102"/>
      <c r="AT50" s="102"/>
      <c r="AU50" s="102"/>
    </row>
    <row r="51" spans="2:61" x14ac:dyDescent="0.15">
      <c r="C51" s="102"/>
      <c r="D51" s="102"/>
      <c r="E51" s="102"/>
      <c r="F51" s="102"/>
      <c r="G51" s="102"/>
      <c r="H51" s="102"/>
      <c r="I51" s="102"/>
      <c r="R51" s="102"/>
      <c r="S51" s="102"/>
      <c r="T51" s="102"/>
      <c r="U51" s="102"/>
      <c r="V51" s="102"/>
      <c r="W51" s="102"/>
      <c r="X51" s="102"/>
      <c r="AG51" s="102"/>
      <c r="AH51" s="102"/>
      <c r="AI51" s="102"/>
      <c r="AJ51" s="102"/>
      <c r="AK51" s="102"/>
      <c r="AL51" s="102"/>
      <c r="AM51" s="102"/>
      <c r="AO51" s="102"/>
      <c r="AP51" s="102"/>
      <c r="AQ51" s="102"/>
      <c r="AR51" s="102"/>
      <c r="AS51" s="102"/>
      <c r="AT51" s="102"/>
      <c r="AU51" s="102"/>
    </row>
    <row r="52" spans="2:61" ht="16" x14ac:dyDescent="0.2">
      <c r="B52" s="4" t="s">
        <v>22</v>
      </c>
      <c r="C52" s="75"/>
      <c r="D52" s="3"/>
      <c r="K52" s="4"/>
      <c r="L52" s="4"/>
      <c r="M52" s="4"/>
      <c r="N52" s="4"/>
      <c r="O52" s="4"/>
      <c r="P52" s="4"/>
      <c r="Q52" s="4"/>
      <c r="R52" s="75"/>
      <c r="S52" s="3"/>
      <c r="Z52" s="4"/>
      <c r="AA52" s="4"/>
      <c r="AB52" s="4"/>
      <c r="AC52" s="4"/>
      <c r="AD52" s="4"/>
      <c r="AE52" s="4"/>
      <c r="AG52" s="75"/>
      <c r="AH52" s="3"/>
      <c r="AO52" s="75"/>
      <c r="AP52" s="3"/>
    </row>
    <row r="53" spans="2:61" ht="4" customHeight="1" x14ac:dyDescent="0.2">
      <c r="B53" s="4"/>
    </row>
    <row r="54" spans="2:61" x14ac:dyDescent="0.15">
      <c r="B54" s="40"/>
      <c r="C54" s="5">
        <v>2024</v>
      </c>
      <c r="D54" s="6">
        <v>2025</v>
      </c>
      <c r="E54" s="6">
        <v>2026</v>
      </c>
      <c r="F54" s="6">
        <v>2027</v>
      </c>
      <c r="G54" s="6">
        <v>2028</v>
      </c>
      <c r="H54" s="6">
        <v>2029</v>
      </c>
      <c r="I54" s="6">
        <v>2030</v>
      </c>
      <c r="K54" s="5">
        <v>2025</v>
      </c>
      <c r="L54" s="5">
        <v>2026</v>
      </c>
      <c r="M54" s="5">
        <v>2027</v>
      </c>
      <c r="N54" s="5">
        <v>2028</v>
      </c>
      <c r="O54" s="5">
        <v>2029</v>
      </c>
      <c r="P54" s="5">
        <v>2030</v>
      </c>
      <c r="Q54" s="7"/>
      <c r="R54" s="5">
        <v>2024</v>
      </c>
      <c r="S54" s="6">
        <v>2025</v>
      </c>
      <c r="T54" s="6">
        <v>2026</v>
      </c>
      <c r="U54" s="6">
        <v>2027</v>
      </c>
      <c r="V54" s="6">
        <v>2028</v>
      </c>
      <c r="W54" s="6">
        <v>2029</v>
      </c>
      <c r="X54" s="6">
        <v>2030</v>
      </c>
      <c r="Z54" s="5">
        <v>2025</v>
      </c>
      <c r="AA54" s="5">
        <v>2026</v>
      </c>
      <c r="AB54" s="5">
        <v>2027</v>
      </c>
      <c r="AC54" s="5">
        <v>2028</v>
      </c>
      <c r="AD54" s="5">
        <v>2029</v>
      </c>
      <c r="AE54" s="5">
        <v>2030</v>
      </c>
      <c r="AG54" s="5">
        <v>2024</v>
      </c>
      <c r="AH54" s="6">
        <v>2025</v>
      </c>
      <c r="AI54" s="6">
        <v>2026</v>
      </c>
      <c r="AJ54" s="6">
        <v>2027</v>
      </c>
      <c r="AK54" s="6">
        <v>2028</v>
      </c>
      <c r="AL54" s="6">
        <v>2029</v>
      </c>
      <c r="AM54" s="6">
        <v>2030</v>
      </c>
      <c r="AO54" s="5">
        <v>2024</v>
      </c>
      <c r="AP54" s="5">
        <v>2025</v>
      </c>
      <c r="AQ54" s="5">
        <v>2026</v>
      </c>
      <c r="AR54" s="5">
        <v>2027</v>
      </c>
      <c r="AS54" s="5">
        <v>2028</v>
      </c>
      <c r="AT54" s="5">
        <v>2029</v>
      </c>
      <c r="AU54" s="5">
        <v>2030</v>
      </c>
    </row>
    <row r="55" spans="2:61" x14ac:dyDescent="0.15">
      <c r="B55" s="40"/>
      <c r="D55" s="8"/>
      <c r="E55" s="8"/>
      <c r="F55" s="8"/>
      <c r="G55" s="8"/>
      <c r="H55" s="8"/>
      <c r="I55" s="8"/>
      <c r="S55" s="8"/>
      <c r="T55" s="8"/>
      <c r="U55" s="8"/>
      <c r="V55" s="8"/>
      <c r="W55" s="8"/>
      <c r="X55" s="8"/>
      <c r="AH55" s="8"/>
      <c r="AI55" s="8"/>
      <c r="AJ55" s="8"/>
      <c r="AK55" s="8"/>
      <c r="AL55" s="8"/>
      <c r="AM55" s="8"/>
    </row>
    <row r="56" spans="2:61" x14ac:dyDescent="0.15">
      <c r="B56" s="40" t="s">
        <v>7</v>
      </c>
      <c r="C56" s="42">
        <v>212.25778199196486</v>
      </c>
      <c r="D56" s="46">
        <v>214.15589425422476</v>
      </c>
      <c r="E56" s="46">
        <v>217.47063745624843</v>
      </c>
      <c r="F56" s="46">
        <v>222.13898052827193</v>
      </c>
      <c r="G56" s="46">
        <v>227.34177167078241</v>
      </c>
      <c r="H56" s="46">
        <v>232.24255297247078</v>
      </c>
      <c r="I56" s="46">
        <v>238.3536660323694</v>
      </c>
      <c r="K56" s="44">
        <f t="shared" ref="K56:P78" si="15">D56/C56-1</f>
        <v>8.9424860867139966E-3</v>
      </c>
      <c r="L56" s="44">
        <f t="shared" si="15"/>
        <v>1.5478178705129242E-2</v>
      </c>
      <c r="M56" s="44">
        <f t="shared" si="15"/>
        <v>2.1466544295952072E-2</v>
      </c>
      <c r="N56" s="44">
        <f t="shared" si="15"/>
        <v>2.3421333482928741E-2</v>
      </c>
      <c r="O56" s="44">
        <f t="shared" si="15"/>
        <v>2.155688884480611E-2</v>
      </c>
      <c r="P56" s="44">
        <f t="shared" si="15"/>
        <v>2.6313494153773931E-2</v>
      </c>
      <c r="Q56" s="116"/>
      <c r="R56" s="42">
        <v>212.25778199196486</v>
      </c>
      <c r="S56" s="46">
        <v>214.57840997502848</v>
      </c>
      <c r="T56" s="46">
        <v>218.53944906553772</v>
      </c>
      <c r="U56" s="46">
        <v>223.20251656308312</v>
      </c>
      <c r="V56" s="46">
        <v>228.43610601312926</v>
      </c>
      <c r="W56" s="46">
        <v>233.22391796500293</v>
      </c>
      <c r="X56" s="46">
        <v>238.65968977258996</v>
      </c>
      <c r="Z56" s="44">
        <f t="shared" ref="Z56:AE56" si="16">S56/R56-1</f>
        <v>1.0933064320588493E-2</v>
      </c>
      <c r="AA56" s="44">
        <f t="shared" si="16"/>
        <v>1.8459634829851801E-2</v>
      </c>
      <c r="AB56" s="44">
        <f t="shared" si="16"/>
        <v>2.1337417649236468E-2</v>
      </c>
      <c r="AC56" s="44">
        <f t="shared" si="16"/>
        <v>2.3447717035784299E-2</v>
      </c>
      <c r="AD56" s="44">
        <f t="shared" si="16"/>
        <v>2.0959085826819823E-2</v>
      </c>
      <c r="AE56" s="44">
        <f t="shared" si="16"/>
        <v>2.3307094122321903E-2</v>
      </c>
      <c r="AG56" s="42">
        <f t="shared" ref="AG56:AM78" si="17">C56-R56</f>
        <v>0</v>
      </c>
      <c r="AH56" s="46">
        <f t="shared" si="17"/>
        <v>-0.42251572080371602</v>
      </c>
      <c r="AI56" s="46">
        <f t="shared" si="17"/>
        <v>-1.0688116092892983</v>
      </c>
      <c r="AJ56" s="46">
        <f t="shared" si="17"/>
        <v>-1.0635360348111931</v>
      </c>
      <c r="AK56" s="46">
        <f t="shared" si="17"/>
        <v>-1.0943343423468548</v>
      </c>
      <c r="AL56" s="46">
        <f t="shared" si="17"/>
        <v>-0.98136499253214993</v>
      </c>
      <c r="AM56" s="46">
        <f t="shared" si="17"/>
        <v>-0.30602374022055301</v>
      </c>
      <c r="AO56" s="103">
        <f t="shared" ref="AO56:AU78" si="18">C56/R56-1</f>
        <v>0</v>
      </c>
      <c r="AP56" s="44">
        <f t="shared" si="18"/>
        <v>-1.9690504783443918E-3</v>
      </c>
      <c r="AQ56" s="44">
        <f t="shared" si="18"/>
        <v>-4.8907033208854811E-3</v>
      </c>
      <c r="AR56" s="44">
        <f t="shared" si="18"/>
        <v>-4.7648926687196003E-3</v>
      </c>
      <c r="AS56" s="44">
        <f t="shared" si="18"/>
        <v>-4.7905489261139689E-3</v>
      </c>
      <c r="AT56" s="44">
        <f t="shared" si="18"/>
        <v>-4.2078231130625587E-3</v>
      </c>
      <c r="AU56" s="44">
        <f t="shared" si="18"/>
        <v>-1.2822598592672207E-3</v>
      </c>
    </row>
    <row r="57" spans="2:61" ht="4" customHeight="1" x14ac:dyDescent="0.15">
      <c r="B57" s="40"/>
      <c r="D57" s="8"/>
      <c r="E57" s="8"/>
      <c r="F57" s="8"/>
      <c r="G57" s="8"/>
      <c r="H57" s="8"/>
      <c r="I57" s="8"/>
      <c r="S57" s="8"/>
      <c r="T57" s="8"/>
      <c r="U57" s="8"/>
      <c r="V57" s="8"/>
      <c r="W57" s="8"/>
      <c r="X57" s="8"/>
      <c r="AH57" s="8"/>
      <c r="AI57" s="8"/>
      <c r="AJ57" s="8"/>
      <c r="AK57" s="8"/>
      <c r="AL57" s="8"/>
      <c r="AM57" s="8"/>
      <c r="AO57" s="17"/>
      <c r="AP57" s="17"/>
      <c r="AQ57" s="17"/>
      <c r="AR57" s="17"/>
      <c r="AS57" s="17"/>
      <c r="AT57" s="17"/>
      <c r="AU57" s="17"/>
    </row>
    <row r="58" spans="2:61" x14ac:dyDescent="0.15">
      <c r="B58" s="29" t="s">
        <v>23</v>
      </c>
      <c r="C58" s="45">
        <v>118.33219660239592</v>
      </c>
      <c r="D58" s="46">
        <v>118.90906094392432</v>
      </c>
      <c r="E58" s="46">
        <v>120.85580878979424</v>
      </c>
      <c r="F58" s="46">
        <v>123.3750886991867</v>
      </c>
      <c r="G58" s="46">
        <v>126.38724660389254</v>
      </c>
      <c r="H58" s="46">
        <v>129.0576942823956</v>
      </c>
      <c r="I58" s="46">
        <v>132.49859997064178</v>
      </c>
      <c r="K58" s="44">
        <f t="shared" si="15"/>
        <v>4.8749567581061193E-3</v>
      </c>
      <c r="L58" s="44">
        <f t="shared" si="15"/>
        <v>1.6371736774441148E-2</v>
      </c>
      <c r="M58" s="44">
        <f t="shared" si="15"/>
        <v>2.084533573205638E-2</v>
      </c>
      <c r="N58" s="44">
        <f t="shared" si="15"/>
        <v>2.4414636183565985E-2</v>
      </c>
      <c r="O58" s="44">
        <f t="shared" si="15"/>
        <v>2.1129091346316464E-2</v>
      </c>
      <c r="P58" s="44">
        <f t="shared" si="15"/>
        <v>2.6661763232163516E-2</v>
      </c>
      <c r="Q58" s="116"/>
      <c r="R58" s="45">
        <v>118.33219660239592</v>
      </c>
      <c r="S58" s="46">
        <v>119.40973067421453</v>
      </c>
      <c r="T58" s="46">
        <v>121.62396011684801</v>
      </c>
      <c r="U58" s="46">
        <v>124.17191381457435</v>
      </c>
      <c r="V58" s="46">
        <v>127.21511066461672</v>
      </c>
      <c r="W58" s="46">
        <v>129.9180789109449</v>
      </c>
      <c r="X58" s="46">
        <v>132.79634963349716</v>
      </c>
      <c r="Z58" s="44">
        <f t="shared" ref="Z58:AE58" si="19">S58/R58-1</f>
        <v>9.1060092076140631E-3</v>
      </c>
      <c r="AA58" s="44">
        <f t="shared" si="19"/>
        <v>1.8543123999454902E-2</v>
      </c>
      <c r="AB58" s="44">
        <f t="shared" si="19"/>
        <v>2.0949438706636681E-2</v>
      </c>
      <c r="AC58" s="44">
        <f t="shared" si="19"/>
        <v>2.4507932241317976E-2</v>
      </c>
      <c r="AD58" s="44">
        <f t="shared" si="19"/>
        <v>2.124722630988507E-2</v>
      </c>
      <c r="AE58" s="44">
        <f t="shared" si="19"/>
        <v>2.2154504951733767E-2</v>
      </c>
      <c r="AG58" s="45">
        <f t="shared" si="17"/>
        <v>0</v>
      </c>
      <c r="AH58" s="46">
        <f t="shared" si="17"/>
        <v>-0.50066973029021256</v>
      </c>
      <c r="AI58" s="46">
        <f t="shared" si="17"/>
        <v>-0.76815132705377209</v>
      </c>
      <c r="AJ58" s="46">
        <f t="shared" si="17"/>
        <v>-0.796825115387648</v>
      </c>
      <c r="AK58" s="46">
        <f t="shared" si="17"/>
        <v>-0.82786406072418117</v>
      </c>
      <c r="AL58" s="46">
        <f t="shared" si="17"/>
        <v>-0.86038462854929776</v>
      </c>
      <c r="AM58" s="46">
        <f t="shared" si="17"/>
        <v>-0.29774966285538085</v>
      </c>
      <c r="AO58" s="44">
        <f t="shared" si="18"/>
        <v>0</v>
      </c>
      <c r="AP58" s="44">
        <f t="shared" si="18"/>
        <v>-4.1928721174004924E-3</v>
      </c>
      <c r="AQ58" s="44">
        <f t="shared" si="18"/>
        <v>-6.3157894736841635E-3</v>
      </c>
      <c r="AR58" s="44">
        <f t="shared" si="18"/>
        <v>-6.4171122994652885E-3</v>
      </c>
      <c r="AS58" s="44">
        <f t="shared" si="18"/>
        <v>-6.5075921908893664E-3</v>
      </c>
      <c r="AT58" s="44">
        <f t="shared" si="18"/>
        <v>-6.6225165562913135E-3</v>
      </c>
      <c r="AU58" s="44">
        <f t="shared" si="18"/>
        <v>-2.2421524663677195E-3</v>
      </c>
    </row>
    <row r="59" spans="2:61" ht="4" customHeight="1" x14ac:dyDescent="0.15">
      <c r="B59" s="29"/>
      <c r="D59" s="8"/>
      <c r="E59" s="8"/>
      <c r="F59" s="8"/>
      <c r="G59" s="8"/>
      <c r="H59" s="8"/>
      <c r="I59" s="8"/>
      <c r="S59" s="8"/>
      <c r="T59" s="8"/>
      <c r="U59" s="8"/>
      <c r="V59" s="8"/>
      <c r="W59" s="8"/>
      <c r="X59" s="8"/>
      <c r="AH59" s="8"/>
      <c r="AI59" s="8"/>
      <c r="AJ59" s="8"/>
      <c r="AK59" s="8"/>
      <c r="AL59" s="8"/>
      <c r="AM59" s="8"/>
      <c r="AO59" s="17"/>
      <c r="AP59" s="17"/>
      <c r="AQ59" s="17"/>
      <c r="AR59" s="17"/>
      <c r="AS59" s="17"/>
      <c r="AT59" s="17"/>
      <c r="AU59" s="17"/>
    </row>
    <row r="60" spans="2:61" x14ac:dyDescent="0.15">
      <c r="B60" s="29" t="s">
        <v>24</v>
      </c>
      <c r="C60" s="45">
        <v>41.082532506350283</v>
      </c>
      <c r="D60" s="46">
        <v>41.647534961814131</v>
      </c>
      <c r="E60" s="46">
        <v>42.252473267148396</v>
      </c>
      <c r="F60" s="46">
        <v>43.178203643868635</v>
      </c>
      <c r="G60" s="46">
        <v>44.066491943120155</v>
      </c>
      <c r="H60" s="46">
        <v>44.960731468489719</v>
      </c>
      <c r="I60" s="46">
        <v>45.942754113534839</v>
      </c>
      <c r="K60" s="44">
        <f t="shared" si="15"/>
        <v>1.3752863345912525E-2</v>
      </c>
      <c r="L60" s="44">
        <f t="shared" si="15"/>
        <v>1.4525188726989935E-2</v>
      </c>
      <c r="M60" s="44">
        <f t="shared" si="15"/>
        <v>2.1909495590167083E-2</v>
      </c>
      <c r="N60" s="44">
        <f t="shared" si="15"/>
        <v>2.0572608962106775E-2</v>
      </c>
      <c r="O60" s="44">
        <f t="shared" si="15"/>
        <v>2.0292959251755782E-2</v>
      </c>
      <c r="P60" s="44">
        <f t="shared" si="15"/>
        <v>2.1841785330680485E-2</v>
      </c>
      <c r="Q60" s="116"/>
      <c r="R60" s="45">
        <v>41.082532506350283</v>
      </c>
      <c r="S60" s="46">
        <v>41.639610317895901</v>
      </c>
      <c r="T60" s="46">
        <v>42.367809253602445</v>
      </c>
      <c r="U60" s="46">
        <v>43.283847904630726</v>
      </c>
      <c r="V60" s="46">
        <v>44.161233805301649</v>
      </c>
      <c r="W60" s="46">
        <v>45.001565357529337</v>
      </c>
      <c r="X60" s="46">
        <v>46.06282423402812</v>
      </c>
      <c r="Z60" s="44">
        <f t="shared" ref="Z60:AE66" si="20">S60/R60-1</f>
        <v>1.3559967644631188E-2</v>
      </c>
      <c r="AA60" s="44">
        <f t="shared" si="20"/>
        <v>1.7488130415898251E-2</v>
      </c>
      <c r="AB60" s="44">
        <f t="shared" si="20"/>
        <v>2.1621100244884506E-2</v>
      </c>
      <c r="AC60" s="44">
        <f t="shared" si="20"/>
        <v>2.0270515287922342E-2</v>
      </c>
      <c r="AD60" s="44">
        <f t="shared" si="20"/>
        <v>1.9028715455110534E-2</v>
      </c>
      <c r="AE60" s="44">
        <f t="shared" si="20"/>
        <v>2.358271024723857E-2</v>
      </c>
      <c r="AG60" s="45">
        <f t="shared" si="17"/>
        <v>0</v>
      </c>
      <c r="AH60" s="46">
        <f t="shared" si="17"/>
        <v>7.92464391822989E-3</v>
      </c>
      <c r="AI60" s="46">
        <f t="shared" si="17"/>
        <v>-0.11533598645404908</v>
      </c>
      <c r="AJ60" s="46">
        <f t="shared" si="17"/>
        <v>-0.10564426076209088</v>
      </c>
      <c r="AK60" s="46">
        <f t="shared" si="17"/>
        <v>-9.4741862181493275E-2</v>
      </c>
      <c r="AL60" s="46">
        <f t="shared" si="17"/>
        <v>-4.0833889039618043E-2</v>
      </c>
      <c r="AM60" s="46">
        <f t="shared" si="17"/>
        <v>-0.12007012049328125</v>
      </c>
      <c r="AO60" s="44">
        <f t="shared" si="18"/>
        <v>0</v>
      </c>
      <c r="AP60" s="44">
        <f t="shared" si="18"/>
        <v>1.9031503555688722E-4</v>
      </c>
      <c r="AQ60" s="44">
        <f t="shared" si="18"/>
        <v>-2.7222551386520966E-3</v>
      </c>
      <c r="AR60" s="44">
        <f t="shared" si="18"/>
        <v>-2.4407317250273453E-3</v>
      </c>
      <c r="AS60" s="44">
        <f t="shared" si="18"/>
        <v>-2.145362663534045E-3</v>
      </c>
      <c r="AT60" s="44">
        <f t="shared" si="18"/>
        <v>-9.0738819228175505E-4</v>
      </c>
      <c r="AU60" s="44">
        <f t="shared" si="18"/>
        <v>-2.6066599799275947E-3</v>
      </c>
    </row>
    <row r="61" spans="2:61" x14ac:dyDescent="0.15">
      <c r="B61" s="32" t="s">
        <v>25</v>
      </c>
      <c r="C61" s="47">
        <v>13.311336462528818</v>
      </c>
      <c r="D61" s="48">
        <v>13.489193195786324</v>
      </c>
      <c r="E61" s="48">
        <v>13.773165681377723</v>
      </c>
      <c r="F61" s="48">
        <v>14.082705732321989</v>
      </c>
      <c r="G61" s="48">
        <v>14.350185165762602</v>
      </c>
      <c r="H61" s="48">
        <v>14.620032328517466</v>
      </c>
      <c r="I61" s="48">
        <v>14.863184117413329</v>
      </c>
      <c r="K61" s="17">
        <f t="shared" si="15"/>
        <v>1.3361298000254873E-2</v>
      </c>
      <c r="L61" s="17">
        <f t="shared" si="15"/>
        <v>2.1051851023981438E-2</v>
      </c>
      <c r="M61" s="17">
        <f t="shared" si="15"/>
        <v>2.2474139795093384E-2</v>
      </c>
      <c r="N61" s="17">
        <f t="shared" si="15"/>
        <v>1.8993468906099986E-2</v>
      </c>
      <c r="O61" s="17">
        <f t="shared" si="15"/>
        <v>1.8804437687583331E-2</v>
      </c>
      <c r="P61" s="17">
        <f t="shared" si="15"/>
        <v>1.6631412532623235E-2</v>
      </c>
      <c r="Q61" s="98"/>
      <c r="R61" s="47">
        <v>13.311336462528818</v>
      </c>
      <c r="S61" s="48">
        <v>13.489193195786324</v>
      </c>
      <c r="T61" s="48">
        <v>13.773165681377723</v>
      </c>
      <c r="U61" s="48">
        <v>14.082705732321989</v>
      </c>
      <c r="V61" s="48">
        <v>14.334433041541127</v>
      </c>
      <c r="W61" s="48">
        <v>14.603660511800202</v>
      </c>
      <c r="X61" s="48">
        <v>14.863184117413329</v>
      </c>
      <c r="Z61" s="17">
        <f t="shared" si="20"/>
        <v>1.3361298000254873E-2</v>
      </c>
      <c r="AA61" s="17">
        <f t="shared" si="20"/>
        <v>2.1051851023981438E-2</v>
      </c>
      <c r="AB61" s="17">
        <f t="shared" si="20"/>
        <v>2.2474139795093384E-2</v>
      </c>
      <c r="AC61" s="17">
        <f t="shared" si="20"/>
        <v>1.7874925032437927E-2</v>
      </c>
      <c r="AD61" s="17">
        <f t="shared" si="20"/>
        <v>1.8781870861502181E-2</v>
      </c>
      <c r="AE61" s="17">
        <f t="shared" si="20"/>
        <v>1.7771133847121812E-2</v>
      </c>
      <c r="AG61" s="47">
        <f t="shared" si="17"/>
        <v>0</v>
      </c>
      <c r="AH61" s="48">
        <f t="shared" si="17"/>
        <v>0</v>
      </c>
      <c r="AI61" s="48">
        <f t="shared" si="17"/>
        <v>0</v>
      </c>
      <c r="AJ61" s="48">
        <f t="shared" si="17"/>
        <v>0</v>
      </c>
      <c r="AK61" s="48">
        <f t="shared" si="17"/>
        <v>1.5752124221474872E-2</v>
      </c>
      <c r="AL61" s="48">
        <f t="shared" si="17"/>
        <v>1.6371816717263954E-2</v>
      </c>
      <c r="AM61" s="48">
        <f t="shared" si="17"/>
        <v>0</v>
      </c>
      <c r="AO61" s="17">
        <f t="shared" si="18"/>
        <v>0</v>
      </c>
      <c r="AP61" s="17">
        <f t="shared" si="18"/>
        <v>0</v>
      </c>
      <c r="AQ61" s="17">
        <f t="shared" si="18"/>
        <v>0</v>
      </c>
      <c r="AR61" s="17">
        <f t="shared" si="18"/>
        <v>0</v>
      </c>
      <c r="AS61" s="17">
        <f t="shared" si="18"/>
        <v>1.098901098901095E-3</v>
      </c>
      <c r="AT61" s="17">
        <f t="shared" si="18"/>
        <v>1.1210762331836932E-3</v>
      </c>
      <c r="AU61" s="17">
        <f t="shared" si="18"/>
        <v>0</v>
      </c>
    </row>
    <row r="62" spans="2:61" x14ac:dyDescent="0.15">
      <c r="B62" s="32" t="s">
        <v>26</v>
      </c>
      <c r="C62" s="47">
        <v>3.8579110081331147</v>
      </c>
      <c r="D62" s="48">
        <v>3.8906221288581668</v>
      </c>
      <c r="E62" s="48">
        <v>3.8951700963495037</v>
      </c>
      <c r="F62" s="48">
        <v>3.9717410612989883</v>
      </c>
      <c r="G62" s="48">
        <v>4.0576558170020443</v>
      </c>
      <c r="H62" s="48">
        <v>4.1416453220068847</v>
      </c>
      <c r="I62" s="48">
        <v>4.2148636556138515</v>
      </c>
      <c r="K62" s="17">
        <f t="shared" si="15"/>
        <v>8.4789723391989202E-3</v>
      </c>
      <c r="L62" s="17">
        <f t="shared" si="15"/>
        <v>1.1689563624293076E-3</v>
      </c>
      <c r="M62" s="17">
        <f t="shared" si="15"/>
        <v>1.9657925855727232E-2</v>
      </c>
      <c r="N62" s="17">
        <f t="shared" si="15"/>
        <v>2.1631509803148319E-2</v>
      </c>
      <c r="O62" s="17">
        <f t="shared" si="15"/>
        <v>2.0699021502246451E-2</v>
      </c>
      <c r="P62" s="17">
        <f t="shared" si="15"/>
        <v>1.7678561999965758E-2</v>
      </c>
      <c r="Q62" s="98"/>
      <c r="R62" s="47">
        <v>3.8579110081331147</v>
      </c>
      <c r="S62" s="48">
        <v>3.8906377345966696</v>
      </c>
      <c r="T62" s="48">
        <v>3.9329673307785016</v>
      </c>
      <c r="U62" s="48">
        <v>4.0060661909390927</v>
      </c>
      <c r="V62" s="48">
        <v>4.0932166675517481</v>
      </c>
      <c r="W62" s="48">
        <v>4.1632161725627475</v>
      </c>
      <c r="X62" s="48">
        <v>4.2296458664422243</v>
      </c>
      <c r="Z62" s="17">
        <f t="shared" si="20"/>
        <v>8.4830174658154789E-3</v>
      </c>
      <c r="AA62" s="17">
        <f t="shared" si="20"/>
        <v>1.0879860595969904E-2</v>
      </c>
      <c r="AB62" s="17">
        <f t="shared" si="20"/>
        <v>1.8586185445410575E-2</v>
      </c>
      <c r="AC62" s="17">
        <f t="shared" si="20"/>
        <v>2.1754627222528633E-2</v>
      </c>
      <c r="AD62" s="17">
        <f t="shared" si="20"/>
        <v>1.7101343685495207E-2</v>
      </c>
      <c r="AE62" s="17">
        <f t="shared" si="20"/>
        <v>1.5956340273002079E-2</v>
      </c>
      <c r="AG62" s="47">
        <f t="shared" si="17"/>
        <v>0</v>
      </c>
      <c r="AH62" s="48">
        <f t="shared" si="17"/>
        <v>-1.5605738502788569E-5</v>
      </c>
      <c r="AI62" s="48">
        <f t="shared" si="17"/>
        <v>-3.779723442899785E-2</v>
      </c>
      <c r="AJ62" s="48">
        <f t="shared" si="17"/>
        <v>-3.4325129640104368E-2</v>
      </c>
      <c r="AK62" s="48">
        <f t="shared" si="17"/>
        <v>-3.5560850549703815E-2</v>
      </c>
      <c r="AL62" s="48">
        <f t="shared" si="17"/>
        <v>-2.1570850555862719E-2</v>
      </c>
      <c r="AM62" s="48">
        <f t="shared" si="17"/>
        <v>-1.4782210828372833E-2</v>
      </c>
      <c r="AO62" s="17">
        <f t="shared" si="18"/>
        <v>0</v>
      </c>
      <c r="AP62" s="17">
        <f t="shared" si="18"/>
        <v>-4.0111003818399382E-6</v>
      </c>
      <c r="AQ62" s="17">
        <f t="shared" si="18"/>
        <v>-9.6103606386978013E-3</v>
      </c>
      <c r="AR62" s="17">
        <f t="shared" si="18"/>
        <v>-8.5682881919776355E-3</v>
      </c>
      <c r="AS62" s="17">
        <f t="shared" si="18"/>
        <v>-8.6877518191514902E-3</v>
      </c>
      <c r="AT62" s="17">
        <f t="shared" si="18"/>
        <v>-5.18129485997465E-3</v>
      </c>
      <c r="AU62" s="17">
        <f t="shared" si="18"/>
        <v>-3.494905080743016E-3</v>
      </c>
    </row>
    <row r="63" spans="2:61" x14ac:dyDescent="0.15">
      <c r="B63" s="32" t="s">
        <v>27</v>
      </c>
      <c r="C63" s="47">
        <v>9.2563825560954331</v>
      </c>
      <c r="D63" s="48">
        <v>9.4049683580446715</v>
      </c>
      <c r="E63" s="48">
        <v>9.5476511396724835</v>
      </c>
      <c r="F63" s="48">
        <v>9.7740985424619549</v>
      </c>
      <c r="G63" s="48">
        <v>9.9618591726984445</v>
      </c>
      <c r="H63" s="48">
        <v>10.179259814274467</v>
      </c>
      <c r="I63" s="48">
        <v>10.394756482982563</v>
      </c>
      <c r="K63" s="17">
        <f t="shared" si="15"/>
        <v>1.6052253787997683E-2</v>
      </c>
      <c r="L63" s="17">
        <f t="shared" si="15"/>
        <v>1.5171000708978033E-2</v>
      </c>
      <c r="M63" s="17">
        <f t="shared" si="15"/>
        <v>2.3717603364091788E-2</v>
      </c>
      <c r="N63" s="17">
        <f t="shared" si="15"/>
        <v>1.9210020179435849E-2</v>
      </c>
      <c r="O63" s="17">
        <f t="shared" si="15"/>
        <v>2.1823300029359283E-2</v>
      </c>
      <c r="P63" s="17">
        <f t="shared" si="15"/>
        <v>2.1170170782545794E-2</v>
      </c>
      <c r="Q63" s="98"/>
      <c r="R63" s="47">
        <v>9.2563825560954331</v>
      </c>
      <c r="S63" s="48">
        <v>9.4194214013077602</v>
      </c>
      <c r="T63" s="48">
        <v>9.5906034438164731</v>
      </c>
      <c r="U63" s="48">
        <v>9.8183598055136425</v>
      </c>
      <c r="V63" s="48">
        <v>10.008339759655078</v>
      </c>
      <c r="W63" s="48">
        <v>10.205327817160697</v>
      </c>
      <c r="X63" s="48">
        <v>10.516298139193811</v>
      </c>
      <c r="Z63" s="17">
        <f t="shared" si="20"/>
        <v>1.7613667566598545E-2</v>
      </c>
      <c r="AA63" s="17">
        <f t="shared" si="20"/>
        <v>1.8173307596679678E-2</v>
      </c>
      <c r="AB63" s="17">
        <f t="shared" si="20"/>
        <v>2.3747865609438312E-2</v>
      </c>
      <c r="AC63" s="17">
        <f t="shared" si="20"/>
        <v>1.934945937046928E-2</v>
      </c>
      <c r="AD63" s="17">
        <f t="shared" si="20"/>
        <v>1.9682391109432817E-2</v>
      </c>
      <c r="AE63" s="17">
        <f t="shared" si="20"/>
        <v>3.0471370210195969E-2</v>
      </c>
      <c r="AG63" s="47">
        <f t="shared" si="17"/>
        <v>0</v>
      </c>
      <c r="AH63" s="48">
        <f t="shared" si="17"/>
        <v>-1.4453043263088716E-2</v>
      </c>
      <c r="AI63" s="48">
        <f t="shared" si="17"/>
        <v>-4.295230414398965E-2</v>
      </c>
      <c r="AJ63" s="48">
        <f t="shared" si="17"/>
        <v>-4.4261263051687649E-2</v>
      </c>
      <c r="AK63" s="48">
        <f t="shared" si="17"/>
        <v>-4.6480586956633374E-2</v>
      </c>
      <c r="AL63" s="48">
        <f t="shared" si="17"/>
        <v>-2.6068002886230346E-2</v>
      </c>
      <c r="AM63" s="48">
        <f t="shared" si="17"/>
        <v>-0.12154165621124768</v>
      </c>
      <c r="AO63" s="17">
        <f t="shared" si="18"/>
        <v>0</v>
      </c>
      <c r="AP63" s="17">
        <f t="shared" si="18"/>
        <v>-1.5343875857473099E-3</v>
      </c>
      <c r="AQ63" s="17">
        <f t="shared" si="18"/>
        <v>-4.4785820199544357E-3</v>
      </c>
      <c r="AR63" s="17">
        <f t="shared" si="18"/>
        <v>-4.5080098843833794E-3</v>
      </c>
      <c r="AS63" s="17">
        <f t="shared" si="18"/>
        <v>-4.6441855565297896E-3</v>
      </c>
      <c r="AT63" s="17">
        <f t="shared" si="18"/>
        <v>-2.5543523298091619E-3</v>
      </c>
      <c r="AU63" s="17">
        <f t="shared" si="18"/>
        <v>-1.1557456302828339E-2</v>
      </c>
    </row>
    <row r="64" spans="2:61" x14ac:dyDescent="0.15">
      <c r="B64" s="32" t="s">
        <v>28</v>
      </c>
      <c r="C64" s="47">
        <v>5.0483557899269229</v>
      </c>
      <c r="D64" s="48">
        <v>5.0783050549783404</v>
      </c>
      <c r="E64" s="48">
        <v>5.1349163336116668</v>
      </c>
      <c r="F64" s="48">
        <v>5.2496506422334459</v>
      </c>
      <c r="G64" s="48">
        <v>5.3729910440891784</v>
      </c>
      <c r="H64" s="48">
        <v>5.4857295307660259</v>
      </c>
      <c r="I64" s="48">
        <v>5.6407768523509576</v>
      </c>
      <c r="K64" s="17">
        <f t="shared" si="15"/>
        <v>5.9324790679722295E-3</v>
      </c>
      <c r="L64" s="17">
        <f t="shared" si="15"/>
        <v>1.1147671914240265E-2</v>
      </c>
      <c r="M64" s="17">
        <f t="shared" si="15"/>
        <v>2.2343948989151263E-2</v>
      </c>
      <c r="N64" s="17">
        <f t="shared" si="15"/>
        <v>2.3494973334693636E-2</v>
      </c>
      <c r="O64" s="17">
        <f t="shared" si="15"/>
        <v>2.0982444554950686E-2</v>
      </c>
      <c r="P64" s="17">
        <f t="shared" si="15"/>
        <v>2.8263756117644645E-2</v>
      </c>
      <c r="Q64" s="98"/>
      <c r="R64" s="47">
        <v>5.0483557899269229</v>
      </c>
      <c r="S64" s="48">
        <v>5.0562120845399514</v>
      </c>
      <c r="T64" s="48">
        <v>5.1371194145009742</v>
      </c>
      <c r="U64" s="48">
        <v>5.2526983537534502</v>
      </c>
      <c r="V64" s="48">
        <v>5.3791099719326549</v>
      </c>
      <c r="W64" s="48">
        <v>5.4883588675526509</v>
      </c>
      <c r="X64" s="48">
        <v>5.6447994384285565</v>
      </c>
      <c r="Z64" s="17">
        <f t="shared" si="20"/>
        <v>1.5562085835361117E-3</v>
      </c>
      <c r="AA64" s="17">
        <f t="shared" si="20"/>
        <v>1.6001569674738869E-2</v>
      </c>
      <c r="AB64" s="17">
        <f t="shared" si="20"/>
        <v>2.2498783837148428E-2</v>
      </c>
      <c r="AC64" s="17">
        <f t="shared" si="20"/>
        <v>2.406603419152642E-2</v>
      </c>
      <c r="AD64" s="17">
        <f t="shared" si="20"/>
        <v>2.0309846087928962E-2</v>
      </c>
      <c r="AE64" s="17">
        <f t="shared" si="20"/>
        <v>2.8504071007598775E-2</v>
      </c>
      <c r="AG64" s="47">
        <f t="shared" si="17"/>
        <v>0</v>
      </c>
      <c r="AH64" s="48">
        <f t="shared" si="17"/>
        <v>2.2092970438388981E-2</v>
      </c>
      <c r="AI64" s="48">
        <f t="shared" si="17"/>
        <v>-2.2030808893074294E-3</v>
      </c>
      <c r="AJ64" s="48">
        <f t="shared" si="17"/>
        <v>-3.0477115200042704E-3</v>
      </c>
      <c r="AK64" s="48">
        <f t="shared" si="17"/>
        <v>-6.1189278434765626E-3</v>
      </c>
      <c r="AL64" s="48">
        <f t="shared" si="17"/>
        <v>-2.629336786625025E-3</v>
      </c>
      <c r="AM64" s="48">
        <f t="shared" si="17"/>
        <v>-4.0225860775988664E-3</v>
      </c>
      <c r="AO64" s="17">
        <f t="shared" si="18"/>
        <v>0</v>
      </c>
      <c r="AP64" s="17">
        <f t="shared" si="18"/>
        <v>4.3694706766634894E-3</v>
      </c>
      <c r="AQ64" s="17">
        <f t="shared" si="18"/>
        <v>-4.288553003242157E-4</v>
      </c>
      <c r="AR64" s="17">
        <f t="shared" si="18"/>
        <v>-5.8021826397591791E-4</v>
      </c>
      <c r="AS64" s="17">
        <f t="shared" si="18"/>
        <v>-1.1375353683795719E-3</v>
      </c>
      <c r="AT64" s="17">
        <f t="shared" si="18"/>
        <v>-4.7907522996892826E-4</v>
      </c>
      <c r="AU64" s="17">
        <f t="shared" si="18"/>
        <v>-7.1261806933542449E-4</v>
      </c>
    </row>
    <row r="65" spans="2:47" x14ac:dyDescent="0.15">
      <c r="B65" s="32" t="s">
        <v>29</v>
      </c>
      <c r="C65" s="47">
        <v>3.5141315693666773</v>
      </c>
      <c r="D65" s="48">
        <v>3.5785652246994282</v>
      </c>
      <c r="E65" s="48">
        <v>3.6349623249902079</v>
      </c>
      <c r="F65" s="48">
        <v>3.6986815052667423</v>
      </c>
      <c r="G65" s="48">
        <v>3.7717739861469726</v>
      </c>
      <c r="H65" s="48">
        <v>3.8430446072316946</v>
      </c>
      <c r="I65" s="48">
        <v>3.9445896345098319</v>
      </c>
      <c r="K65" s="17">
        <f t="shared" si="15"/>
        <v>1.8335584215010803E-2</v>
      </c>
      <c r="L65" s="17">
        <f t="shared" si="15"/>
        <v>1.5759696065206219E-2</v>
      </c>
      <c r="M65" s="17">
        <f t="shared" si="15"/>
        <v>1.7529529766640906E-2</v>
      </c>
      <c r="N65" s="17">
        <f t="shared" si="15"/>
        <v>1.976176666635121E-2</v>
      </c>
      <c r="O65" s="17">
        <f t="shared" si="15"/>
        <v>1.8895782553908447E-2</v>
      </c>
      <c r="P65" s="17">
        <f t="shared" si="15"/>
        <v>2.6423067556138546E-2</v>
      </c>
      <c r="Q65" s="98"/>
      <c r="R65" s="47">
        <v>3.5141315693666773</v>
      </c>
      <c r="S65" s="48">
        <v>3.5852101682265025</v>
      </c>
      <c r="T65" s="48">
        <v>3.6380910299245892</v>
      </c>
      <c r="U65" s="48">
        <v>3.7021266961175163</v>
      </c>
      <c r="V65" s="48">
        <v>3.7754609582585887</v>
      </c>
      <c r="W65" s="48">
        <v>3.8419652515904468</v>
      </c>
      <c r="X65" s="48">
        <v>3.9429028520476863</v>
      </c>
      <c r="Z65" s="17">
        <f t="shared" si="20"/>
        <v>2.0226504744281781E-2</v>
      </c>
      <c r="AA65" s="17">
        <f t="shared" si="20"/>
        <v>1.4749724344401693E-2</v>
      </c>
      <c r="AB65" s="17">
        <f t="shared" si="20"/>
        <v>1.7601446930879616E-2</v>
      </c>
      <c r="AC65" s="17">
        <f t="shared" si="20"/>
        <v>1.9808685158716921E-2</v>
      </c>
      <c r="AD65" s="17">
        <f t="shared" si="20"/>
        <v>1.7614880425762092E-2</v>
      </c>
      <c r="AE65" s="17">
        <f t="shared" si="20"/>
        <v>2.6272387657711116E-2</v>
      </c>
      <c r="AG65" s="47">
        <f t="shared" si="17"/>
        <v>0</v>
      </c>
      <c r="AH65" s="48">
        <f t="shared" si="17"/>
        <v>-6.6449435270743429E-3</v>
      </c>
      <c r="AI65" s="48">
        <f t="shared" si="17"/>
        <v>-3.1287049343813322E-3</v>
      </c>
      <c r="AJ65" s="48">
        <f t="shared" si="17"/>
        <v>-3.4451908507739937E-3</v>
      </c>
      <c r="AK65" s="48">
        <f t="shared" si="17"/>
        <v>-3.6869721116161713E-3</v>
      </c>
      <c r="AL65" s="48">
        <f t="shared" si="17"/>
        <v>1.0793556412478367E-3</v>
      </c>
      <c r="AM65" s="48">
        <f t="shared" si="17"/>
        <v>1.6867824621455973E-3</v>
      </c>
      <c r="AO65" s="17">
        <f t="shared" si="18"/>
        <v>0</v>
      </c>
      <c r="AP65" s="17">
        <f t="shared" si="18"/>
        <v>-1.8534320765807299E-3</v>
      </c>
      <c r="AQ65" s="17">
        <f t="shared" si="18"/>
        <v>-8.5998533534392685E-4</v>
      </c>
      <c r="AR65" s="17">
        <f t="shared" si="18"/>
        <v>-9.305977708399249E-4</v>
      </c>
      <c r="AS65" s="17">
        <f t="shared" si="18"/>
        <v>-9.7656210788010789E-4</v>
      </c>
      <c r="AT65" s="17">
        <f t="shared" si="18"/>
        <v>2.8093841837861788E-4</v>
      </c>
      <c r="AU65" s="17">
        <f t="shared" si="18"/>
        <v>4.2780218672389125E-4</v>
      </c>
    </row>
    <row r="66" spans="2:47" x14ac:dyDescent="0.15">
      <c r="B66" s="32" t="s">
        <v>30</v>
      </c>
      <c r="C66" s="47">
        <v>6.0944151202993186</v>
      </c>
      <c r="D66" s="48">
        <v>6.2058809994472028</v>
      </c>
      <c r="E66" s="48">
        <v>6.2666076911468185</v>
      </c>
      <c r="F66" s="48">
        <v>6.4013261602855129</v>
      </c>
      <c r="G66" s="48">
        <v>6.5520267574209079</v>
      </c>
      <c r="H66" s="48">
        <v>6.6910198656931783</v>
      </c>
      <c r="I66" s="48">
        <v>6.8845833706643029</v>
      </c>
      <c r="K66" s="17">
        <f t="shared" si="15"/>
        <v>1.8289840279605007E-2</v>
      </c>
      <c r="L66" s="17">
        <f t="shared" si="15"/>
        <v>9.7853458203638333E-3</v>
      </c>
      <c r="M66" s="17">
        <f t="shared" si="15"/>
        <v>2.1497830369853643E-2</v>
      </c>
      <c r="N66" s="17">
        <f t="shared" si="15"/>
        <v>2.3542090086013268E-2</v>
      </c>
      <c r="O66" s="17">
        <f t="shared" si="15"/>
        <v>2.1213757729979577E-2</v>
      </c>
      <c r="P66" s="17">
        <f t="shared" si="15"/>
        <v>2.8928849242188193E-2</v>
      </c>
      <c r="Q66" s="98"/>
      <c r="R66" s="47">
        <v>6.0944151202993186</v>
      </c>
      <c r="S66" s="48">
        <v>6.1989357334386925</v>
      </c>
      <c r="T66" s="48">
        <v>6.2958623532041837</v>
      </c>
      <c r="U66" s="48">
        <v>6.4218911259850344</v>
      </c>
      <c r="V66" s="48">
        <v>6.5706734063624443</v>
      </c>
      <c r="W66" s="48">
        <v>6.6990367368625963</v>
      </c>
      <c r="X66" s="48">
        <v>6.8659938205025117</v>
      </c>
      <c r="Z66" s="17">
        <f t="shared" si="20"/>
        <v>1.7150228705497206E-2</v>
      </c>
      <c r="AA66" s="17">
        <f t="shared" si="20"/>
        <v>1.563600978191193E-2</v>
      </c>
      <c r="AB66" s="17">
        <f t="shared" si="20"/>
        <v>2.0017714128821584E-2</v>
      </c>
      <c r="AC66" s="17">
        <f t="shared" si="20"/>
        <v>2.3167985482561271E-2</v>
      </c>
      <c r="AD66" s="17">
        <f t="shared" si="20"/>
        <v>1.9535795277217272E-2</v>
      </c>
      <c r="AE66" s="17">
        <f t="shared" si="20"/>
        <v>2.4922550837974233E-2</v>
      </c>
      <c r="AG66" s="47">
        <f t="shared" si="17"/>
        <v>0</v>
      </c>
      <c r="AH66" s="48">
        <f t="shared" si="17"/>
        <v>6.9452660085103091E-3</v>
      </c>
      <c r="AI66" s="48">
        <f t="shared" si="17"/>
        <v>-2.9254662057365266E-2</v>
      </c>
      <c r="AJ66" s="48">
        <f t="shared" si="17"/>
        <v>-2.0564965699521487E-2</v>
      </c>
      <c r="AK66" s="48">
        <f t="shared" si="17"/>
        <v>-1.8646648941536448E-2</v>
      </c>
      <c r="AL66" s="48">
        <f t="shared" si="17"/>
        <v>-8.0168711694179606E-3</v>
      </c>
      <c r="AM66" s="48">
        <f t="shared" si="17"/>
        <v>1.8589550161791202E-2</v>
      </c>
      <c r="AO66" s="17">
        <f t="shared" si="18"/>
        <v>0</v>
      </c>
      <c r="AP66" s="17">
        <f t="shared" si="18"/>
        <v>1.1203965175903274E-3</v>
      </c>
      <c r="AQ66" s="17">
        <f t="shared" si="18"/>
        <v>-4.6466489284786583E-3</v>
      </c>
      <c r="AR66" s="17">
        <f t="shared" si="18"/>
        <v>-3.2023223838705261E-3</v>
      </c>
      <c r="AS66" s="17">
        <f t="shared" si="18"/>
        <v>-2.8378596512620424E-3</v>
      </c>
      <c r="AT66" s="17">
        <f t="shared" si="18"/>
        <v>-1.1967199889058033E-3</v>
      </c>
      <c r="AU66" s="17">
        <f t="shared" si="18"/>
        <v>2.7074813417806709E-3</v>
      </c>
    </row>
    <row r="67" spans="2:47" ht="4" customHeight="1" x14ac:dyDescent="0.15">
      <c r="B67" s="32"/>
      <c r="D67" s="8"/>
      <c r="E67" s="8"/>
      <c r="F67" s="8"/>
      <c r="G67" s="8"/>
      <c r="H67" s="8"/>
      <c r="I67" s="8"/>
      <c r="S67" s="8"/>
      <c r="T67" s="8"/>
      <c r="U67" s="8"/>
      <c r="V67" s="8"/>
      <c r="W67" s="8"/>
      <c r="X67" s="8"/>
      <c r="AH67" s="8"/>
      <c r="AI67" s="8"/>
      <c r="AJ67" s="8"/>
      <c r="AK67" s="8"/>
      <c r="AL67" s="8"/>
      <c r="AM67" s="8"/>
      <c r="AO67" s="17"/>
      <c r="AP67" s="17"/>
      <c r="AQ67" s="17"/>
      <c r="AR67" s="17"/>
      <c r="AS67" s="17"/>
      <c r="AT67" s="17"/>
      <c r="AU67" s="17"/>
    </row>
    <row r="68" spans="2:47" x14ac:dyDescent="0.15">
      <c r="B68" s="29" t="s">
        <v>31</v>
      </c>
      <c r="C68" s="45">
        <v>4.8044141072517359</v>
      </c>
      <c r="D68" s="46">
        <v>4.8939135711593096</v>
      </c>
      <c r="E68" s="46">
        <v>4.9682744841846675</v>
      </c>
      <c r="F68" s="46">
        <v>5.0832969200063562</v>
      </c>
      <c r="G68" s="46">
        <v>5.1899193788730962</v>
      </c>
      <c r="H68" s="46">
        <v>5.3036839885862843</v>
      </c>
      <c r="I68" s="46">
        <v>5.442985566974845</v>
      </c>
      <c r="K68" s="44">
        <f t="shared" si="15"/>
        <v>1.8628590689650171E-2</v>
      </c>
      <c r="L68" s="44">
        <f t="shared" si="15"/>
        <v>1.5194570141896291E-2</v>
      </c>
      <c r="M68" s="44">
        <f t="shared" si="15"/>
        <v>2.31513850911087E-2</v>
      </c>
      <c r="N68" s="44">
        <f t="shared" si="15"/>
        <v>2.0975060191173345E-2</v>
      </c>
      <c r="O68" s="44">
        <f t="shared" si="15"/>
        <v>2.1920303844467526E-2</v>
      </c>
      <c r="P68" s="44">
        <f t="shared" si="15"/>
        <v>2.6265060039086574E-2</v>
      </c>
      <c r="Q68" s="116"/>
      <c r="R68" s="45">
        <v>4.8044141072517359</v>
      </c>
      <c r="S68" s="46">
        <v>4.8945710514996108</v>
      </c>
      <c r="T68" s="46">
        <v>4.9839980415704819</v>
      </c>
      <c r="U68" s="46">
        <v>5.0894123987424065</v>
      </c>
      <c r="V68" s="46">
        <v>5.1975845007469452</v>
      </c>
      <c r="W68" s="46">
        <v>5.3031928190126614</v>
      </c>
      <c r="X68" s="46">
        <v>5.4252383169783949</v>
      </c>
      <c r="Z68" s="44">
        <f t="shared" ref="Z68:AE72" si="21">S68/R68-1</f>
        <v>1.8765439913223325E-2</v>
      </c>
      <c r="AA68" s="44">
        <f t="shared" si="21"/>
        <v>1.8270649078323764E-2</v>
      </c>
      <c r="AB68" s="44">
        <f t="shared" si="21"/>
        <v>2.1150561515611788E-2</v>
      </c>
      <c r="AC68" s="44">
        <f t="shared" si="21"/>
        <v>2.1254340094598811E-2</v>
      </c>
      <c r="AD68" s="44">
        <f t="shared" si="21"/>
        <v>2.031873041227894E-2</v>
      </c>
      <c r="AE68" s="44">
        <f t="shared" si="21"/>
        <v>2.3013588630642179E-2</v>
      </c>
      <c r="AG68" s="45">
        <f t="shared" si="17"/>
        <v>0</v>
      </c>
      <c r="AH68" s="46">
        <f t="shared" si="17"/>
        <v>-6.5748034030121971E-4</v>
      </c>
      <c r="AI68" s="46">
        <f t="shared" si="17"/>
        <v>-1.5723557385814324E-2</v>
      </c>
      <c r="AJ68" s="46">
        <f t="shared" si="17"/>
        <v>-6.1154787360502283E-3</v>
      </c>
      <c r="AK68" s="46">
        <f t="shared" si="17"/>
        <v>-7.6651218738490456E-3</v>
      </c>
      <c r="AL68" s="46">
        <f t="shared" si="17"/>
        <v>4.9116957362294045E-4</v>
      </c>
      <c r="AM68" s="46">
        <f t="shared" si="17"/>
        <v>1.7747249996450165E-2</v>
      </c>
      <c r="AO68" s="44">
        <f t="shared" si="18"/>
        <v>0</v>
      </c>
      <c r="AP68" s="44">
        <f t="shared" si="18"/>
        <v>-1.3432849035865946E-4</v>
      </c>
      <c r="AQ68" s="44">
        <f t="shared" si="18"/>
        <v>-3.1548080987727767E-3</v>
      </c>
      <c r="AR68" s="44">
        <f t="shared" si="18"/>
        <v>-1.2016080161948439E-3</v>
      </c>
      <c r="AS68" s="44">
        <f t="shared" si="18"/>
        <v>-1.4747469469226226E-3</v>
      </c>
      <c r="AT68" s="44">
        <f t="shared" si="18"/>
        <v>9.2617709818609839E-5</v>
      </c>
      <c r="AU68" s="44">
        <f t="shared" si="18"/>
        <v>3.27123878427793E-3</v>
      </c>
    </row>
    <row r="69" spans="2:47" x14ac:dyDescent="0.15">
      <c r="B69" s="32" t="s">
        <v>32</v>
      </c>
      <c r="C69" s="47">
        <v>1.9248964412082248</v>
      </c>
      <c r="D69" s="48">
        <v>1.9503012336609866</v>
      </c>
      <c r="E69" s="48">
        <v>1.9709422037928335</v>
      </c>
      <c r="F69" s="48">
        <v>2.0097157745837744</v>
      </c>
      <c r="G69" s="48">
        <v>2.0513334214582528</v>
      </c>
      <c r="H69" s="48">
        <v>2.0963287956264578</v>
      </c>
      <c r="I69" s="48">
        <v>2.147701428986132</v>
      </c>
      <c r="K69" s="17">
        <f t="shared" si="15"/>
        <v>1.3198004790748952E-2</v>
      </c>
      <c r="L69" s="17">
        <f t="shared" si="15"/>
        <v>1.0583477965145249E-2</v>
      </c>
      <c r="M69" s="17">
        <f t="shared" si="15"/>
        <v>1.9672606693552863E-2</v>
      </c>
      <c r="N69" s="17">
        <f t="shared" si="15"/>
        <v>2.0708225213138753E-2</v>
      </c>
      <c r="O69" s="17">
        <f t="shared" si="15"/>
        <v>2.1934695597275677E-2</v>
      </c>
      <c r="P69" s="17">
        <f t="shared" si="15"/>
        <v>2.4505999949460344E-2</v>
      </c>
      <c r="Q69" s="98"/>
      <c r="R69" s="47">
        <v>1.9248964412082248</v>
      </c>
      <c r="S69" s="48">
        <v>1.9445025041584327</v>
      </c>
      <c r="T69" s="48">
        <v>1.982323116247299</v>
      </c>
      <c r="U69" s="48">
        <v>2.0188714373532552</v>
      </c>
      <c r="V69" s="48">
        <v>2.0599694122604313</v>
      </c>
      <c r="W69" s="48">
        <v>2.0996815186067264</v>
      </c>
      <c r="X69" s="48">
        <v>2.1452799077586113</v>
      </c>
      <c r="Z69" s="17">
        <f t="shared" si="21"/>
        <v>1.0185515714238313E-2</v>
      </c>
      <c r="AA69" s="17">
        <f t="shared" si="21"/>
        <v>1.9450019739231328E-2</v>
      </c>
      <c r="AB69" s="17">
        <f t="shared" si="21"/>
        <v>1.8437115930497461E-2</v>
      </c>
      <c r="AC69" s="17">
        <f t="shared" si="21"/>
        <v>2.0356905420909621E-2</v>
      </c>
      <c r="AD69" s="17">
        <f t="shared" si="21"/>
        <v>1.9278007775231254E-2</v>
      </c>
      <c r="AE69" s="17">
        <f t="shared" si="21"/>
        <v>2.1716812167848376E-2</v>
      </c>
      <c r="AG69" s="47">
        <f t="shared" si="17"/>
        <v>0</v>
      </c>
      <c r="AH69" s="48">
        <f t="shared" si="17"/>
        <v>5.7987295025538899E-3</v>
      </c>
      <c r="AI69" s="48">
        <f t="shared" si="17"/>
        <v>-1.1380912454465486E-2</v>
      </c>
      <c r="AJ69" s="48">
        <f t="shared" si="17"/>
        <v>-9.1556627694808768E-3</v>
      </c>
      <c r="AK69" s="48">
        <f t="shared" si="17"/>
        <v>-8.6359908021784726E-3</v>
      </c>
      <c r="AL69" s="48">
        <f t="shared" si="17"/>
        <v>-3.3527229802685632E-3</v>
      </c>
      <c r="AM69" s="48">
        <f t="shared" si="17"/>
        <v>2.4215212275207065E-3</v>
      </c>
      <c r="AO69" s="17">
        <f t="shared" si="18"/>
        <v>0</v>
      </c>
      <c r="AP69" s="17">
        <f t="shared" si="18"/>
        <v>2.9821147003683546E-3</v>
      </c>
      <c r="AQ69" s="17">
        <f t="shared" si="18"/>
        <v>-5.741199485183035E-3</v>
      </c>
      <c r="AR69" s="17">
        <f t="shared" si="18"/>
        <v>-4.5350400228971743E-3</v>
      </c>
      <c r="AS69" s="17">
        <f t="shared" si="18"/>
        <v>-4.1922907936298159E-3</v>
      </c>
      <c r="AT69" s="17">
        <f t="shared" si="18"/>
        <v>-1.5967769161930878E-3</v>
      </c>
      <c r="AU69" s="17">
        <f t="shared" si="18"/>
        <v>1.1287670288446794E-3</v>
      </c>
    </row>
    <row r="70" spans="2:47" x14ac:dyDescent="0.15">
      <c r="B70" s="32" t="s">
        <v>33</v>
      </c>
      <c r="C70" s="47">
        <v>1.4510715131150569</v>
      </c>
      <c r="D70" s="48">
        <v>1.4872499518300604</v>
      </c>
      <c r="E70" s="48">
        <v>1.515127323994431</v>
      </c>
      <c r="F70" s="48">
        <v>1.5515772186525598</v>
      </c>
      <c r="G70" s="48">
        <v>1.5866772630045336</v>
      </c>
      <c r="H70" s="48">
        <v>1.6210773676860479</v>
      </c>
      <c r="I70" s="48">
        <v>1.6666250736375343</v>
      </c>
      <c r="K70" s="17">
        <f t="shared" si="15"/>
        <v>2.4932223111001628E-2</v>
      </c>
      <c r="L70" s="17">
        <f t="shared" si="15"/>
        <v>1.8744241430344255E-2</v>
      </c>
      <c r="M70" s="17">
        <f t="shared" si="15"/>
        <v>2.4057314577387245E-2</v>
      </c>
      <c r="N70" s="17">
        <f t="shared" si="15"/>
        <v>2.2622170479182246E-2</v>
      </c>
      <c r="O70" s="17">
        <f t="shared" si="15"/>
        <v>2.1680593453752728E-2</v>
      </c>
      <c r="P70" s="17">
        <f t="shared" si="15"/>
        <v>2.8097182071267879E-2</v>
      </c>
      <c r="Q70" s="98"/>
      <c r="R70" s="47">
        <v>1.4510715131150569</v>
      </c>
      <c r="S70" s="48">
        <v>1.4899435886425858</v>
      </c>
      <c r="T70" s="48">
        <v>1.5179358387113273</v>
      </c>
      <c r="U70" s="48">
        <v>1.5513639625942222</v>
      </c>
      <c r="V70" s="48">
        <v>1.5870250590160941</v>
      </c>
      <c r="W70" s="48">
        <v>1.6194358563971896</v>
      </c>
      <c r="X70" s="48">
        <v>1.6587993186923418</v>
      </c>
      <c r="Z70" s="17">
        <f t="shared" si="21"/>
        <v>2.6788531906384971E-2</v>
      </c>
      <c r="AA70" s="17">
        <f t="shared" si="21"/>
        <v>1.8787456305136896E-2</v>
      </c>
      <c r="AB70" s="17">
        <f t="shared" si="21"/>
        <v>2.2022092785735969E-2</v>
      </c>
      <c r="AC70" s="17">
        <f t="shared" si="21"/>
        <v>2.2986931037278113E-2</v>
      </c>
      <c r="AD70" s="17">
        <f t="shared" si="21"/>
        <v>2.0422360187046573E-2</v>
      </c>
      <c r="AE70" s="17">
        <f t="shared" si="21"/>
        <v>2.4306898071730476E-2</v>
      </c>
      <c r="AG70" s="47">
        <f t="shared" si="17"/>
        <v>0</v>
      </c>
      <c r="AH70" s="48">
        <f t="shared" si="17"/>
        <v>-2.6936368125254351E-3</v>
      </c>
      <c r="AI70" s="48">
        <f t="shared" si="17"/>
        <v>-2.8085147168963598E-3</v>
      </c>
      <c r="AJ70" s="48">
        <f t="shared" si="17"/>
        <v>2.1325605833766303E-4</v>
      </c>
      <c r="AK70" s="48">
        <f t="shared" si="17"/>
        <v>-3.4779601156054163E-4</v>
      </c>
      <c r="AL70" s="48">
        <f t="shared" si="17"/>
        <v>1.6415112888583661E-3</v>
      </c>
      <c r="AM70" s="48">
        <f t="shared" si="17"/>
        <v>7.8257549451925534E-3</v>
      </c>
      <c r="AO70" s="17">
        <f t="shared" si="18"/>
        <v>0</v>
      </c>
      <c r="AP70" s="17">
        <f t="shared" si="18"/>
        <v>-1.8078783875162818E-3</v>
      </c>
      <c r="AQ70" s="17">
        <f t="shared" si="18"/>
        <v>-1.8502196504436297E-3</v>
      </c>
      <c r="AR70" s="17">
        <f t="shared" si="18"/>
        <v>1.3746358912514189E-4</v>
      </c>
      <c r="AS70" s="17">
        <f t="shared" si="18"/>
        <v>-2.191496659643688E-4</v>
      </c>
      <c r="AT70" s="17">
        <f t="shared" si="18"/>
        <v>1.0136315571709353E-3</v>
      </c>
      <c r="AU70" s="17">
        <f t="shared" si="18"/>
        <v>4.7177225460652839E-3</v>
      </c>
    </row>
    <row r="71" spans="2:47" x14ac:dyDescent="0.15">
      <c r="B71" s="32" t="s">
        <v>34</v>
      </c>
      <c r="C71" s="47">
        <v>1.0499469198277489</v>
      </c>
      <c r="D71" s="48">
        <v>1.0727820446033776</v>
      </c>
      <c r="E71" s="48">
        <v>1.0939263543588436</v>
      </c>
      <c r="F71" s="48">
        <v>1.1226557700969035</v>
      </c>
      <c r="G71" s="48">
        <v>1.1435869809322761</v>
      </c>
      <c r="H71" s="48">
        <v>1.1699907880200195</v>
      </c>
      <c r="I71" s="48">
        <v>1.2016218182298151</v>
      </c>
      <c r="K71" s="17">
        <f t="shared" si="15"/>
        <v>2.1748837340629379E-2</v>
      </c>
      <c r="L71" s="17">
        <f t="shared" si="15"/>
        <v>1.9709790876750954E-2</v>
      </c>
      <c r="M71" s="17">
        <f t="shared" si="15"/>
        <v>2.6262659843219849E-2</v>
      </c>
      <c r="N71" s="17">
        <f t="shared" si="15"/>
        <v>1.864437113574513E-2</v>
      </c>
      <c r="O71" s="17">
        <f t="shared" si="15"/>
        <v>2.3088586638349673E-2</v>
      </c>
      <c r="P71" s="17">
        <f t="shared" si="15"/>
        <v>2.7035281417322032E-2</v>
      </c>
      <c r="Q71" s="98"/>
      <c r="R71" s="47">
        <v>1.0499469198277489</v>
      </c>
      <c r="S71" s="48">
        <v>1.0786383276894997</v>
      </c>
      <c r="T71" s="48">
        <v>1.0971020685868005</v>
      </c>
      <c r="U71" s="48">
        <v>1.1227348609729992</v>
      </c>
      <c r="V71" s="48">
        <v>1.1446490754397274</v>
      </c>
      <c r="W71" s="48">
        <v>1.170136727330551</v>
      </c>
      <c r="X71" s="48">
        <v>1.1975981081261213</v>
      </c>
      <c r="Z71" s="17">
        <f t="shared" si="21"/>
        <v>2.7326531770251572E-2</v>
      </c>
      <c r="AA71" s="17">
        <f t="shared" si="21"/>
        <v>1.7117638436649152E-2</v>
      </c>
      <c r="AB71" s="17">
        <f t="shared" si="21"/>
        <v>2.3364090835428675E-2</v>
      </c>
      <c r="AC71" s="17">
        <f t="shared" si="21"/>
        <v>1.9518601611547393E-2</v>
      </c>
      <c r="AD71" s="17">
        <f t="shared" si="21"/>
        <v>2.2266782403185248E-2</v>
      </c>
      <c r="AE71" s="17">
        <f t="shared" si="21"/>
        <v>2.3468523082954995E-2</v>
      </c>
      <c r="AG71" s="47">
        <f t="shared" si="17"/>
        <v>0</v>
      </c>
      <c r="AH71" s="48">
        <f t="shared" si="17"/>
        <v>-5.8562830861221826E-3</v>
      </c>
      <c r="AI71" s="48">
        <f t="shared" si="17"/>
        <v>-3.1757142279569273E-3</v>
      </c>
      <c r="AJ71" s="48">
        <f t="shared" si="17"/>
        <v>-7.9090876095699869E-5</v>
      </c>
      <c r="AK71" s="48">
        <f t="shared" si="17"/>
        <v>-1.0620945074513166E-3</v>
      </c>
      <c r="AL71" s="48">
        <f t="shared" si="17"/>
        <v>-1.4593931053141773E-4</v>
      </c>
      <c r="AM71" s="48">
        <f t="shared" si="17"/>
        <v>4.0237101036937339E-3</v>
      </c>
      <c r="AO71" s="17">
        <f t="shared" si="18"/>
        <v>0</v>
      </c>
      <c r="AP71" s="17">
        <f t="shared" si="18"/>
        <v>-5.4293296796402712E-3</v>
      </c>
      <c r="AQ71" s="17">
        <f t="shared" si="18"/>
        <v>-2.8946388115442812E-3</v>
      </c>
      <c r="AR71" s="17">
        <f t="shared" si="18"/>
        <v>-7.0444838621286365E-5</v>
      </c>
      <c r="AS71" s="17">
        <f t="shared" si="18"/>
        <v>-9.2787783630832177E-4</v>
      </c>
      <c r="AT71" s="17">
        <f t="shared" si="18"/>
        <v>-1.2471987856010891E-4</v>
      </c>
      <c r="AU71" s="17">
        <f t="shared" si="18"/>
        <v>3.3598166834027943E-3</v>
      </c>
    </row>
    <row r="72" spans="2:47" x14ac:dyDescent="0.15">
      <c r="B72" s="32" t="s">
        <v>35</v>
      </c>
      <c r="C72" s="47">
        <v>0.37849923310070421</v>
      </c>
      <c r="D72" s="48">
        <v>0.38358034106488481</v>
      </c>
      <c r="E72" s="48">
        <v>0.38827860203855974</v>
      </c>
      <c r="F72" s="48">
        <v>0.39934815667311907</v>
      </c>
      <c r="G72" s="48">
        <v>0.40832171347803414</v>
      </c>
      <c r="H72" s="48">
        <v>0.41628703725375871</v>
      </c>
      <c r="I72" s="48">
        <v>0.42703724612136379</v>
      </c>
      <c r="K72" s="17">
        <f t="shared" si="15"/>
        <v>1.3424354714157927E-2</v>
      </c>
      <c r="L72" s="17">
        <f t="shared" si="15"/>
        <v>1.2248440471771094E-2</v>
      </c>
      <c r="M72" s="17">
        <f t="shared" si="15"/>
        <v>2.8509308976702341E-2</v>
      </c>
      <c r="N72" s="17">
        <f t="shared" si="15"/>
        <v>2.2470510142507782E-2</v>
      </c>
      <c r="O72" s="17">
        <f t="shared" si="15"/>
        <v>1.9507470489082968E-2</v>
      </c>
      <c r="P72" s="17">
        <f t="shared" si="15"/>
        <v>2.5824029829331518E-2</v>
      </c>
      <c r="Q72" s="98"/>
      <c r="R72" s="47">
        <v>0.37849923310070421</v>
      </c>
      <c r="S72" s="48">
        <v>0.38148663100909314</v>
      </c>
      <c r="T72" s="48">
        <v>0.38663701802505512</v>
      </c>
      <c r="U72" s="48">
        <v>0.39644213782193055</v>
      </c>
      <c r="V72" s="48">
        <v>0.40594095403069219</v>
      </c>
      <c r="W72" s="48">
        <v>0.41393871667819498</v>
      </c>
      <c r="X72" s="48">
        <v>0.42356098240132073</v>
      </c>
      <c r="Z72" s="17">
        <f t="shared" si="21"/>
        <v>7.8927449440673314E-3</v>
      </c>
      <c r="AA72" s="17">
        <f t="shared" si="21"/>
        <v>1.3500832263344087E-2</v>
      </c>
      <c r="AB72" s="17">
        <f t="shared" si="21"/>
        <v>2.5360012983133506E-2</v>
      </c>
      <c r="AC72" s="17">
        <f t="shared" si="21"/>
        <v>2.3960157870574816E-2</v>
      </c>
      <c r="AD72" s="17">
        <f t="shared" si="21"/>
        <v>1.9701788075558557E-2</v>
      </c>
      <c r="AE72" s="17">
        <f t="shared" si="21"/>
        <v>2.3245628725776513E-2</v>
      </c>
      <c r="AG72" s="47">
        <f t="shared" si="17"/>
        <v>0</v>
      </c>
      <c r="AH72" s="48">
        <f t="shared" si="17"/>
        <v>2.0937100557916755E-3</v>
      </c>
      <c r="AI72" s="48">
        <f t="shared" si="17"/>
        <v>1.6415840135046156E-3</v>
      </c>
      <c r="AJ72" s="48">
        <f t="shared" si="17"/>
        <v>2.9060188511885188E-3</v>
      </c>
      <c r="AK72" s="48">
        <f t="shared" si="17"/>
        <v>2.3807594473419513E-3</v>
      </c>
      <c r="AL72" s="48">
        <f t="shared" si="17"/>
        <v>2.3483205755637226E-3</v>
      </c>
      <c r="AM72" s="48">
        <f t="shared" si="17"/>
        <v>3.4762637200430602E-3</v>
      </c>
      <c r="AO72" s="17">
        <f t="shared" si="18"/>
        <v>0</v>
      </c>
      <c r="AP72" s="17">
        <f t="shared" si="18"/>
        <v>5.4882920805205959E-3</v>
      </c>
      <c r="AQ72" s="17">
        <f t="shared" si="18"/>
        <v>4.2458014545265765E-3</v>
      </c>
      <c r="AR72" s="17">
        <f t="shared" si="18"/>
        <v>7.3302471507048494E-3</v>
      </c>
      <c r="AS72" s="17">
        <f t="shared" si="18"/>
        <v>5.8647924623096426E-3</v>
      </c>
      <c r="AT72" s="17">
        <f t="shared" si="18"/>
        <v>5.6731116973272044E-3</v>
      </c>
      <c r="AU72" s="17">
        <f t="shared" si="18"/>
        <v>8.2072331127736042E-3</v>
      </c>
    </row>
    <row r="73" spans="2:47" ht="4" customHeight="1" x14ac:dyDescent="0.15">
      <c r="B73" s="32"/>
      <c r="D73" s="8"/>
      <c r="E73" s="8"/>
      <c r="F73" s="8"/>
      <c r="G73" s="8"/>
      <c r="H73" s="8"/>
      <c r="I73" s="8"/>
      <c r="S73" s="8"/>
      <c r="T73" s="8"/>
      <c r="U73" s="8"/>
      <c r="V73" s="8"/>
      <c r="W73" s="8"/>
      <c r="X73" s="8"/>
      <c r="AH73" s="8"/>
      <c r="AI73" s="8"/>
      <c r="AJ73" s="8"/>
      <c r="AK73" s="8"/>
      <c r="AL73" s="8"/>
      <c r="AM73" s="8"/>
      <c r="AO73" s="17"/>
      <c r="AP73" s="17"/>
      <c r="AQ73" s="17"/>
      <c r="AR73" s="17"/>
      <c r="AS73" s="17"/>
      <c r="AT73" s="17"/>
      <c r="AU73" s="17"/>
    </row>
    <row r="74" spans="2:47" x14ac:dyDescent="0.15">
      <c r="B74" s="29" t="s">
        <v>36</v>
      </c>
      <c r="C74" s="45">
        <v>48.038638775966916</v>
      </c>
      <c r="D74" s="46">
        <v>48.705384777326998</v>
      </c>
      <c r="E74" s="46">
        <v>49.394080915121108</v>
      </c>
      <c r="F74" s="46">
        <v>50.502391265210221</v>
      </c>
      <c r="G74" s="46">
        <v>51.698113744896631</v>
      </c>
      <c r="H74" s="46">
        <v>52.920443232999176</v>
      </c>
      <c r="I74" s="46">
        <v>54.46932638121794</v>
      </c>
      <c r="K74" s="44">
        <f t="shared" si="15"/>
        <v>1.3879369156764021E-2</v>
      </c>
      <c r="L74" s="44">
        <f t="shared" si="15"/>
        <v>1.4140041002503434E-2</v>
      </c>
      <c r="M74" s="44">
        <f t="shared" si="15"/>
        <v>2.2438120713160759E-2</v>
      </c>
      <c r="N74" s="44">
        <f t="shared" si="15"/>
        <v>2.367655173805816E-2</v>
      </c>
      <c r="O74" s="44">
        <f t="shared" si="15"/>
        <v>2.3643599341633736E-2</v>
      </c>
      <c r="P74" s="44">
        <f t="shared" si="15"/>
        <v>2.9268143908003807E-2</v>
      </c>
      <c r="Q74" s="116"/>
      <c r="R74" s="45">
        <v>48.038638775966916</v>
      </c>
      <c r="S74" s="46">
        <v>48.634497931418416</v>
      </c>
      <c r="T74" s="46">
        <v>49.563681653516753</v>
      </c>
      <c r="U74" s="46">
        <v>50.657342445135654</v>
      </c>
      <c r="V74" s="46">
        <v>51.862177042463934</v>
      </c>
      <c r="W74" s="46">
        <v>53.001080877516038</v>
      </c>
      <c r="X74" s="46">
        <v>54.375277588086291</v>
      </c>
      <c r="Z74" s="44">
        <f t="shared" ref="Z74:AE78" si="22">S74/R74-1</f>
        <v>1.2403747704641477E-2</v>
      </c>
      <c r="AA74" s="44">
        <f t="shared" si="22"/>
        <v>1.9105444933524618E-2</v>
      </c>
      <c r="AB74" s="44">
        <f t="shared" si="22"/>
        <v>2.2065769836557392E-2</v>
      </c>
      <c r="AC74" s="44">
        <f t="shared" si="22"/>
        <v>2.378400719763718E-2</v>
      </c>
      <c r="AD74" s="44">
        <f t="shared" si="22"/>
        <v>2.1960201055956308E-2</v>
      </c>
      <c r="AE74" s="44">
        <f t="shared" si="22"/>
        <v>2.5927711054534619E-2</v>
      </c>
      <c r="AG74" s="45">
        <f t="shared" si="17"/>
        <v>0</v>
      </c>
      <c r="AH74" s="46">
        <f t="shared" si="17"/>
        <v>7.0886845908582075E-2</v>
      </c>
      <c r="AI74" s="46">
        <f t="shared" si="17"/>
        <v>-0.16960073839564416</v>
      </c>
      <c r="AJ74" s="46">
        <f t="shared" si="17"/>
        <v>-0.15495117992543328</v>
      </c>
      <c r="AK74" s="46">
        <f t="shared" si="17"/>
        <v>-0.16406329756730287</v>
      </c>
      <c r="AL74" s="46">
        <f t="shared" si="17"/>
        <v>-8.0637644516862395E-2</v>
      </c>
      <c r="AM74" s="46">
        <f t="shared" si="17"/>
        <v>9.4048793131648267E-2</v>
      </c>
      <c r="AO74" s="44">
        <f t="shared" si="18"/>
        <v>0</v>
      </c>
      <c r="AP74" s="44">
        <f t="shared" si="18"/>
        <v>1.4575424631408929E-3</v>
      </c>
      <c r="AQ74" s="44">
        <f t="shared" si="18"/>
        <v>-3.4218753074330976E-3</v>
      </c>
      <c r="AR74" s="44">
        <f t="shared" si="18"/>
        <v>-3.0588098871008329E-3</v>
      </c>
      <c r="AS74" s="44">
        <f t="shared" si="18"/>
        <v>-3.1634479484532463E-3</v>
      </c>
      <c r="AT74" s="44">
        <f t="shared" si="18"/>
        <v>-1.5214339628887297E-3</v>
      </c>
      <c r="AU74" s="44">
        <f t="shared" si="18"/>
        <v>1.7296241472843921E-3</v>
      </c>
    </row>
    <row r="75" spans="2:47" x14ac:dyDescent="0.15">
      <c r="B75" s="32" t="s">
        <v>37</v>
      </c>
      <c r="C75" s="47">
        <v>3.5842916421232824</v>
      </c>
      <c r="D75" s="48">
        <v>3.6568108474418013</v>
      </c>
      <c r="E75" s="48">
        <v>3.7071280752194857</v>
      </c>
      <c r="F75" s="48">
        <v>3.7912021949984291</v>
      </c>
      <c r="G75" s="48">
        <v>3.8809634889243299</v>
      </c>
      <c r="H75" s="48">
        <v>3.9592550714452748</v>
      </c>
      <c r="I75" s="48">
        <v>4.0498753983167175</v>
      </c>
      <c r="K75" s="17">
        <f t="shared" si="15"/>
        <v>2.0232506882603918E-2</v>
      </c>
      <c r="L75" s="17">
        <f t="shared" si="15"/>
        <v>1.3759866144808841E-2</v>
      </c>
      <c r="M75" s="17">
        <f t="shared" si="15"/>
        <v>2.2679043743037086E-2</v>
      </c>
      <c r="N75" s="17">
        <f t="shared" si="15"/>
        <v>2.3676208576878022E-2</v>
      </c>
      <c r="O75" s="17">
        <f t="shared" si="15"/>
        <v>2.0173233462354556E-2</v>
      </c>
      <c r="P75" s="17">
        <f t="shared" si="15"/>
        <v>2.2888226506296627E-2</v>
      </c>
      <c r="Q75" s="98"/>
      <c r="R75" s="47">
        <v>3.5842916421232824</v>
      </c>
      <c r="S75" s="48">
        <v>3.6439864141287224</v>
      </c>
      <c r="T75" s="48">
        <v>3.7125171581202689</v>
      </c>
      <c r="U75" s="48">
        <v>3.7981448294121707</v>
      </c>
      <c r="V75" s="48">
        <v>3.8898805873818327</v>
      </c>
      <c r="W75" s="48">
        <v>3.9517016878565383</v>
      </c>
      <c r="X75" s="48">
        <v>4.0355454593948057</v>
      </c>
      <c r="Z75" s="17">
        <f t="shared" si="22"/>
        <v>1.6654552130718203E-2</v>
      </c>
      <c r="AA75" s="17">
        <f t="shared" si="22"/>
        <v>1.8806531145625138E-2</v>
      </c>
      <c r="AB75" s="17">
        <f t="shared" si="22"/>
        <v>2.3064586005915544E-2</v>
      </c>
      <c r="AC75" s="17">
        <f t="shared" si="22"/>
        <v>2.4152780394069318E-2</v>
      </c>
      <c r="AD75" s="17">
        <f t="shared" si="22"/>
        <v>1.5892801613304863E-2</v>
      </c>
      <c r="AE75" s="17">
        <f t="shared" si="22"/>
        <v>2.1217130785938787E-2</v>
      </c>
      <c r="AG75" s="47">
        <f t="shared" si="17"/>
        <v>0</v>
      </c>
      <c r="AH75" s="48">
        <f t="shared" si="17"/>
        <v>1.282443331307892E-2</v>
      </c>
      <c r="AI75" s="48">
        <f t="shared" si="17"/>
        <v>-5.3890829007832153E-3</v>
      </c>
      <c r="AJ75" s="48">
        <f t="shared" si="17"/>
        <v>-6.9426344137415441E-3</v>
      </c>
      <c r="AK75" s="48">
        <f t="shared" si="17"/>
        <v>-8.9170984575028811E-3</v>
      </c>
      <c r="AL75" s="48">
        <f t="shared" si="17"/>
        <v>7.5533835887364731E-3</v>
      </c>
      <c r="AM75" s="48">
        <f t="shared" si="17"/>
        <v>1.4329938921911811E-2</v>
      </c>
      <c r="AO75" s="17">
        <f t="shared" si="18"/>
        <v>0</v>
      </c>
      <c r="AP75" s="17">
        <f t="shared" si="18"/>
        <v>3.5193416922070231E-3</v>
      </c>
      <c r="AQ75" s="17">
        <f t="shared" si="18"/>
        <v>-1.4515981128857547E-3</v>
      </c>
      <c r="AR75" s="17">
        <f t="shared" si="18"/>
        <v>-1.8279014428251861E-3</v>
      </c>
      <c r="AS75" s="17">
        <f t="shared" si="18"/>
        <v>-2.2923835982082696E-3</v>
      </c>
      <c r="AT75" s="17">
        <f t="shared" si="18"/>
        <v>1.9114255541980985E-3</v>
      </c>
      <c r="AU75" s="17">
        <f t="shared" si="18"/>
        <v>3.5509298720823868E-3</v>
      </c>
    </row>
    <row r="76" spans="2:47" x14ac:dyDescent="0.15">
      <c r="B76" s="32" t="s">
        <v>38</v>
      </c>
      <c r="C76" s="47">
        <v>4.5892863642493751</v>
      </c>
      <c r="D76" s="48">
        <v>4.6450838507811643</v>
      </c>
      <c r="E76" s="48">
        <v>4.7058419999989454</v>
      </c>
      <c r="F76" s="48">
        <v>4.8331325658736812</v>
      </c>
      <c r="G76" s="48">
        <v>4.9803854186299397</v>
      </c>
      <c r="H76" s="48">
        <v>5.1006897132063349</v>
      </c>
      <c r="I76" s="48">
        <v>5.2539819711758309</v>
      </c>
      <c r="K76" s="17">
        <f t="shared" si="15"/>
        <v>1.2158205460102156E-2</v>
      </c>
      <c r="L76" s="17">
        <f t="shared" si="15"/>
        <v>1.3080097403960433E-2</v>
      </c>
      <c r="M76" s="17">
        <f t="shared" si="15"/>
        <v>2.7049477197654381E-2</v>
      </c>
      <c r="N76" s="17">
        <f t="shared" si="15"/>
        <v>3.0467373023450151E-2</v>
      </c>
      <c r="O76" s="17">
        <f t="shared" si="15"/>
        <v>2.4155619387683736E-2</v>
      </c>
      <c r="P76" s="17">
        <f t="shared" si="15"/>
        <v>3.0053241147486975E-2</v>
      </c>
      <c r="Q76" s="98"/>
      <c r="R76" s="47">
        <v>4.5892863642493751</v>
      </c>
      <c r="S76" s="48">
        <v>4.6514736414344773</v>
      </c>
      <c r="T76" s="48">
        <v>4.7358946945394216</v>
      </c>
      <c r="U76" s="48">
        <v>4.8729543546668701</v>
      </c>
      <c r="V76" s="48">
        <v>5.0207832721066348</v>
      </c>
      <c r="W76" s="48">
        <v>5.1248016443524884</v>
      </c>
      <c r="X76" s="48">
        <v>5.2753796789942253</v>
      </c>
      <c r="Z76" s="17">
        <f t="shared" si="22"/>
        <v>1.3550533187369318E-2</v>
      </c>
      <c r="AA76" s="17">
        <f t="shared" si="22"/>
        <v>1.8149313446159665E-2</v>
      </c>
      <c r="AB76" s="17">
        <f t="shared" si="22"/>
        <v>2.894060551757649E-2</v>
      </c>
      <c r="AC76" s="17">
        <f t="shared" si="22"/>
        <v>3.0336610335409242E-2</v>
      </c>
      <c r="AD76" s="17">
        <f t="shared" si="22"/>
        <v>2.0717558717129991E-2</v>
      </c>
      <c r="AE76" s="17">
        <f t="shared" si="22"/>
        <v>2.9382217125939469E-2</v>
      </c>
      <c r="AG76" s="47">
        <f t="shared" si="17"/>
        <v>0</v>
      </c>
      <c r="AH76" s="48">
        <f t="shared" si="17"/>
        <v>-6.3897906533130211E-3</v>
      </c>
      <c r="AI76" s="48">
        <f t="shared" si="17"/>
        <v>-3.005269454047621E-2</v>
      </c>
      <c r="AJ76" s="48">
        <f t="shared" si="17"/>
        <v>-3.9821788793188873E-2</v>
      </c>
      <c r="AK76" s="48">
        <f t="shared" si="17"/>
        <v>-4.0397853476695111E-2</v>
      </c>
      <c r="AL76" s="48">
        <f t="shared" si="17"/>
        <v>-2.4111931146153509E-2</v>
      </c>
      <c r="AM76" s="48">
        <f t="shared" si="17"/>
        <v>-2.1397707818394451E-2</v>
      </c>
      <c r="AO76" s="17">
        <f t="shared" si="18"/>
        <v>0</v>
      </c>
      <c r="AP76" s="17">
        <f t="shared" si="18"/>
        <v>-1.3737131812150416E-3</v>
      </c>
      <c r="AQ76" s="17">
        <f t="shared" si="18"/>
        <v>-6.3457269383813131E-3</v>
      </c>
      <c r="AR76" s="17">
        <f t="shared" si="18"/>
        <v>-8.1720011916489588E-3</v>
      </c>
      <c r="AS76" s="17">
        <f t="shared" si="18"/>
        <v>-8.0461257312437473E-3</v>
      </c>
      <c r="AT76" s="17">
        <f t="shared" si="18"/>
        <v>-4.7049491511003128E-3</v>
      </c>
      <c r="AU76" s="17">
        <f t="shared" si="18"/>
        <v>-4.0561455516835432E-3</v>
      </c>
    </row>
    <row r="77" spans="2:47" x14ac:dyDescent="0.15">
      <c r="B77" s="32" t="s">
        <v>39</v>
      </c>
      <c r="C77" s="47">
        <v>9.6793094359688059</v>
      </c>
      <c r="D77" s="48">
        <v>9.8424285456918916</v>
      </c>
      <c r="E77" s="48">
        <v>9.9831653304530157</v>
      </c>
      <c r="F77" s="48">
        <v>10.235318650732223</v>
      </c>
      <c r="G77" s="48">
        <v>10.449103586799231</v>
      </c>
      <c r="H77" s="48">
        <v>10.690520442164569</v>
      </c>
      <c r="I77" s="48">
        <v>11.016785658361943</v>
      </c>
      <c r="K77" s="17">
        <f t="shared" si="15"/>
        <v>1.6852349932829691E-2</v>
      </c>
      <c r="L77" s="17">
        <f t="shared" si="15"/>
        <v>1.4298989736910572E-2</v>
      </c>
      <c r="M77" s="17">
        <f t="shared" si="15"/>
        <v>2.5257852788436619E-2</v>
      </c>
      <c r="N77" s="17">
        <f t="shared" si="15"/>
        <v>2.0886983919324642E-2</v>
      </c>
      <c r="O77" s="17">
        <f t="shared" si="15"/>
        <v>2.3104073316904339E-2</v>
      </c>
      <c r="P77" s="17">
        <f t="shared" si="15"/>
        <v>3.0519114383856349E-2</v>
      </c>
      <c r="Q77" s="98"/>
      <c r="R77" s="47">
        <v>9.6793094359688059</v>
      </c>
      <c r="S77" s="48">
        <v>9.8234983477391591</v>
      </c>
      <c r="T77" s="48">
        <v>10.019268795586324</v>
      </c>
      <c r="U77" s="48">
        <v>10.25393823734243</v>
      </c>
      <c r="V77" s="48">
        <v>10.471807694449017</v>
      </c>
      <c r="W77" s="48">
        <v>10.702209584139784</v>
      </c>
      <c r="X77" s="48">
        <v>10.987387634940752</v>
      </c>
      <c r="Z77" s="17">
        <f t="shared" si="22"/>
        <v>1.4896611449835451E-2</v>
      </c>
      <c r="AA77" s="17">
        <f t="shared" si="22"/>
        <v>1.9928791242910027E-2</v>
      </c>
      <c r="AB77" s="17">
        <f t="shared" si="22"/>
        <v>2.342181316260139E-2</v>
      </c>
      <c r="AC77" s="17">
        <f t="shared" si="22"/>
        <v>2.1247393154091521E-2</v>
      </c>
      <c r="AD77" s="17">
        <f t="shared" si="22"/>
        <v>2.2002112377684346E-2</v>
      </c>
      <c r="AE77" s="17">
        <f t="shared" si="22"/>
        <v>2.6646651661876408E-2</v>
      </c>
      <c r="AG77" s="47">
        <f t="shared" si="17"/>
        <v>0</v>
      </c>
      <c r="AH77" s="48">
        <f t="shared" si="17"/>
        <v>1.8930197952732541E-2</v>
      </c>
      <c r="AI77" s="48">
        <f t="shared" si="17"/>
        <v>-3.6103465133308532E-2</v>
      </c>
      <c r="AJ77" s="48">
        <f t="shared" si="17"/>
        <v>-1.8619586610206795E-2</v>
      </c>
      <c r="AK77" s="48">
        <f t="shared" si="17"/>
        <v>-2.270410764978692E-2</v>
      </c>
      <c r="AL77" s="48">
        <f t="shared" si="17"/>
        <v>-1.1689141975214312E-2</v>
      </c>
      <c r="AM77" s="48">
        <f t="shared" si="17"/>
        <v>2.93980234211908E-2</v>
      </c>
      <c r="AO77" s="17">
        <f t="shared" si="18"/>
        <v>0</v>
      </c>
      <c r="AP77" s="17">
        <f t="shared" si="18"/>
        <v>1.9270322325741773E-3</v>
      </c>
      <c r="AQ77" s="17">
        <f t="shared" si="18"/>
        <v>-3.6034031893836804E-3</v>
      </c>
      <c r="AR77" s="17">
        <f t="shared" si="18"/>
        <v>-1.815847353400124E-3</v>
      </c>
      <c r="AS77" s="17">
        <f t="shared" si="18"/>
        <v>-2.1681173215033489E-3</v>
      </c>
      <c r="AT77" s="17">
        <f t="shared" si="18"/>
        <v>-1.0922176288284957E-3</v>
      </c>
      <c r="AU77" s="17">
        <f t="shared" si="18"/>
        <v>2.6756153872011801E-3</v>
      </c>
    </row>
    <row r="78" spans="2:47" x14ac:dyDescent="0.15">
      <c r="B78" s="32" t="s">
        <v>36</v>
      </c>
      <c r="C78" s="47">
        <v>30.185751333625454</v>
      </c>
      <c r="D78" s="48">
        <v>30.561061533412136</v>
      </c>
      <c r="E78" s="48">
        <v>30.997945509449661</v>
      </c>
      <c r="F78" s="48">
        <v>31.642737853605887</v>
      </c>
      <c r="G78" s="48">
        <v>32.387661250543132</v>
      </c>
      <c r="H78" s="48">
        <v>33.169978006182994</v>
      </c>
      <c r="I78" s="48">
        <v>34.148683353363452</v>
      </c>
      <c r="K78" s="17">
        <f t="shared" si="15"/>
        <v>1.2433356242771643E-2</v>
      </c>
      <c r="L78" s="17">
        <f t="shared" si="15"/>
        <v>1.4295445057099343E-2</v>
      </c>
      <c r="M78" s="17">
        <f t="shared" si="15"/>
        <v>2.080113160917918E-2</v>
      </c>
      <c r="N78" s="17">
        <f t="shared" si="15"/>
        <v>2.3541685943347046E-2</v>
      </c>
      <c r="O78" s="17">
        <f t="shared" si="15"/>
        <v>2.4154777635472024E-2</v>
      </c>
      <c r="P78" s="17">
        <f t="shared" si="15"/>
        <v>2.9505758098423263E-2</v>
      </c>
      <c r="Q78" s="98"/>
      <c r="R78" s="47">
        <v>30.185751333625454</v>
      </c>
      <c r="S78" s="48">
        <v>30.515539528116058</v>
      </c>
      <c r="T78" s="48">
        <v>31.09600100527074</v>
      </c>
      <c r="U78" s="48">
        <v>31.732305023714186</v>
      </c>
      <c r="V78" s="48">
        <v>32.479705488526449</v>
      </c>
      <c r="W78" s="48">
        <v>33.22236796116723</v>
      </c>
      <c r="X78" s="48">
        <v>34.076964814756508</v>
      </c>
      <c r="Z78" s="17">
        <f t="shared" si="22"/>
        <v>1.0925293554751914E-2</v>
      </c>
      <c r="AA78" s="17">
        <f t="shared" si="22"/>
        <v>1.9021832355933466E-2</v>
      </c>
      <c r="AB78" s="17">
        <f t="shared" si="22"/>
        <v>2.0462567464401449E-2</v>
      </c>
      <c r="AC78" s="17">
        <f t="shared" si="22"/>
        <v>2.3553298893783881E-2</v>
      </c>
      <c r="AD78" s="17">
        <f t="shared" si="22"/>
        <v>2.2865431242999668E-2</v>
      </c>
      <c r="AE78" s="17">
        <f t="shared" si="22"/>
        <v>2.5723538267597101E-2</v>
      </c>
      <c r="AG78" s="47">
        <f t="shared" si="17"/>
        <v>0</v>
      </c>
      <c r="AH78" s="48">
        <f t="shared" si="17"/>
        <v>4.5522005296078305E-2</v>
      </c>
      <c r="AI78" s="48">
        <f t="shared" si="17"/>
        <v>-9.8055495821078864E-2</v>
      </c>
      <c r="AJ78" s="48">
        <f t="shared" si="17"/>
        <v>-8.9567170108299621E-2</v>
      </c>
      <c r="AK78" s="48">
        <f t="shared" si="17"/>
        <v>-9.2044237983316179E-2</v>
      </c>
      <c r="AL78" s="48">
        <f t="shared" si="17"/>
        <v>-5.2389954984235487E-2</v>
      </c>
      <c r="AM78" s="48">
        <f t="shared" si="17"/>
        <v>7.1718538606944549E-2</v>
      </c>
      <c r="AO78" s="17">
        <f t="shared" si="18"/>
        <v>0</v>
      </c>
      <c r="AP78" s="17">
        <f t="shared" si="18"/>
        <v>1.4917647205332507E-3</v>
      </c>
      <c r="AQ78" s="17">
        <f t="shared" si="18"/>
        <v>-3.1533153026480631E-3</v>
      </c>
      <c r="AR78" s="17">
        <f t="shared" si="18"/>
        <v>-2.8225863214589308E-3</v>
      </c>
      <c r="AS78" s="17">
        <f t="shared" si="18"/>
        <v>-2.8339000184540719E-3</v>
      </c>
      <c r="AT78" s="17">
        <f t="shared" si="18"/>
        <v>-1.5769482490072262E-3</v>
      </c>
      <c r="AU78" s="17">
        <f t="shared" si="18"/>
        <v>2.1046046499977322E-3</v>
      </c>
    </row>
    <row r="79" spans="2:47" ht="4" customHeight="1" x14ac:dyDescent="0.15">
      <c r="B79" s="49"/>
      <c r="C79" s="36"/>
      <c r="D79" s="37"/>
      <c r="E79" s="37"/>
      <c r="F79" s="37"/>
      <c r="G79" s="37"/>
      <c r="H79" s="37"/>
      <c r="I79" s="37"/>
      <c r="K79" s="36"/>
      <c r="L79" s="36"/>
      <c r="M79" s="36"/>
      <c r="N79" s="36"/>
      <c r="O79" s="36"/>
      <c r="P79" s="36"/>
      <c r="R79" s="36"/>
      <c r="S79" s="37"/>
      <c r="T79" s="37"/>
      <c r="U79" s="37"/>
      <c r="V79" s="37"/>
      <c r="W79" s="37"/>
      <c r="X79" s="37"/>
      <c r="Z79" s="36"/>
      <c r="AA79" s="36"/>
      <c r="AB79" s="36"/>
      <c r="AC79" s="36"/>
      <c r="AD79" s="36"/>
      <c r="AE79" s="36"/>
      <c r="AG79" s="36"/>
      <c r="AH79" s="37"/>
      <c r="AI79" s="37"/>
      <c r="AJ79" s="37"/>
      <c r="AK79" s="37"/>
      <c r="AL79" s="37"/>
      <c r="AM79" s="37"/>
      <c r="AO79" s="36"/>
      <c r="AP79" s="36"/>
      <c r="AQ79" s="36"/>
      <c r="AR79" s="36"/>
      <c r="AS79" s="36"/>
      <c r="AT79" s="36"/>
      <c r="AU79" s="36"/>
    </row>
    <row r="80" spans="2:47" x14ac:dyDescent="0.15">
      <c r="B80" s="38" t="s">
        <v>76</v>
      </c>
    </row>
    <row r="81" spans="2:47" x14ac:dyDescent="0.15">
      <c r="C81" s="102"/>
      <c r="D81" s="102"/>
      <c r="E81" s="102"/>
      <c r="F81" s="102"/>
      <c r="G81" s="102"/>
      <c r="H81" s="102"/>
      <c r="I81" s="102"/>
      <c r="R81" s="102"/>
      <c r="S81" s="102"/>
      <c r="T81" s="102"/>
      <c r="U81" s="102"/>
      <c r="V81" s="102"/>
      <c r="W81" s="102"/>
      <c r="X81" s="102"/>
      <c r="AG81" s="102"/>
      <c r="AH81" s="102"/>
      <c r="AI81" s="102"/>
      <c r="AJ81" s="102"/>
      <c r="AK81" s="102"/>
      <c r="AL81" s="102"/>
      <c r="AM81" s="102"/>
      <c r="AO81" s="102"/>
      <c r="AP81" s="102"/>
      <c r="AQ81" s="102"/>
      <c r="AR81" s="102"/>
      <c r="AS81" s="102"/>
      <c r="AT81" s="102"/>
      <c r="AU81" s="102"/>
    </row>
    <row r="82" spans="2:47" x14ac:dyDescent="0.15">
      <c r="B82" s="40"/>
    </row>
    <row r="83" spans="2:47" x14ac:dyDescent="0.15">
      <c r="B83" s="40"/>
    </row>
    <row r="84" spans="2:47" ht="16" x14ac:dyDescent="0.2">
      <c r="B84" s="4" t="s">
        <v>40</v>
      </c>
      <c r="C84" s="75"/>
      <c r="K84" s="4"/>
      <c r="L84" s="4"/>
      <c r="M84" s="4"/>
      <c r="N84" s="4"/>
      <c r="O84" s="4"/>
      <c r="P84" s="4"/>
      <c r="Q84" s="4"/>
      <c r="R84" s="75"/>
      <c r="Z84" s="4"/>
      <c r="AA84" s="4"/>
      <c r="AB84" s="4"/>
      <c r="AC84" s="4"/>
      <c r="AD84" s="4"/>
      <c r="AE84" s="4"/>
      <c r="AG84" s="75"/>
      <c r="AO84" s="75"/>
    </row>
    <row r="85" spans="2:47" ht="4" customHeight="1" x14ac:dyDescent="0.2">
      <c r="B85" s="4"/>
      <c r="C85" s="75"/>
      <c r="D85" s="3"/>
      <c r="K85" s="4"/>
      <c r="L85" s="4"/>
      <c r="M85" s="4"/>
      <c r="N85" s="4"/>
      <c r="O85" s="4"/>
      <c r="P85" s="4"/>
      <c r="Q85" s="4"/>
      <c r="R85" s="75"/>
      <c r="S85" s="3"/>
      <c r="Z85" s="4"/>
      <c r="AA85" s="4"/>
      <c r="AB85" s="4"/>
      <c r="AC85" s="4"/>
      <c r="AD85" s="4"/>
      <c r="AE85" s="4"/>
      <c r="AG85" s="75"/>
      <c r="AH85" s="3"/>
      <c r="AO85" s="75"/>
      <c r="AP85" s="3"/>
    </row>
    <row r="86" spans="2:47" x14ac:dyDescent="0.15">
      <c r="C86" s="5">
        <v>2024</v>
      </c>
      <c r="D86" s="6">
        <v>2025</v>
      </c>
      <c r="E86" s="6">
        <v>2026</v>
      </c>
      <c r="F86" s="6">
        <v>2027</v>
      </c>
      <c r="G86" s="6">
        <v>2028</v>
      </c>
      <c r="H86" s="6">
        <v>2029</v>
      </c>
      <c r="I86" s="6">
        <v>2030</v>
      </c>
      <c r="K86" s="5">
        <v>2025</v>
      </c>
      <c r="L86" s="5">
        <v>2026</v>
      </c>
      <c r="M86" s="5">
        <v>2027</v>
      </c>
      <c r="N86" s="5">
        <v>2028</v>
      </c>
      <c r="O86" s="5">
        <v>2029</v>
      </c>
      <c r="P86" s="5">
        <v>2030</v>
      </c>
      <c r="Q86" s="7"/>
      <c r="R86" s="5">
        <v>2024</v>
      </c>
      <c r="S86" s="6">
        <v>2025</v>
      </c>
      <c r="T86" s="6">
        <v>2026</v>
      </c>
      <c r="U86" s="6">
        <v>2027</v>
      </c>
      <c r="V86" s="6">
        <v>2028</v>
      </c>
      <c r="W86" s="6">
        <v>2029</v>
      </c>
      <c r="X86" s="6">
        <v>2030</v>
      </c>
      <c r="Z86" s="5">
        <v>2025</v>
      </c>
      <c r="AA86" s="5">
        <v>2026</v>
      </c>
      <c r="AB86" s="5">
        <v>2027</v>
      </c>
      <c r="AC86" s="5">
        <v>2028</v>
      </c>
      <c r="AD86" s="5">
        <v>2029</v>
      </c>
      <c r="AE86" s="5">
        <v>2030</v>
      </c>
      <c r="AG86" s="5">
        <v>2024</v>
      </c>
      <c r="AH86" s="6">
        <v>2025</v>
      </c>
      <c r="AI86" s="6">
        <v>2026</v>
      </c>
      <c r="AJ86" s="6">
        <v>2027</v>
      </c>
      <c r="AK86" s="6">
        <v>2028</v>
      </c>
      <c r="AL86" s="6">
        <v>2029</v>
      </c>
      <c r="AM86" s="6">
        <v>2030</v>
      </c>
      <c r="AO86" s="5">
        <v>2024</v>
      </c>
      <c r="AP86" s="5">
        <v>2025</v>
      </c>
      <c r="AQ86" s="5">
        <v>2026</v>
      </c>
      <c r="AR86" s="5">
        <v>2027</v>
      </c>
      <c r="AS86" s="5">
        <v>2028</v>
      </c>
      <c r="AT86" s="5">
        <v>2029</v>
      </c>
      <c r="AU86" s="5">
        <v>2030</v>
      </c>
    </row>
    <row r="87" spans="2:47" ht="4" customHeight="1" x14ac:dyDescent="0.15">
      <c r="D87" s="104"/>
      <c r="E87" s="104"/>
      <c r="F87" s="104"/>
      <c r="G87" s="104"/>
      <c r="H87" s="104"/>
      <c r="I87" s="104"/>
      <c r="S87" s="104"/>
      <c r="T87" s="104"/>
      <c r="U87" s="104"/>
      <c r="V87" s="104"/>
      <c r="W87" s="104"/>
      <c r="X87" s="104"/>
      <c r="AH87" s="104"/>
      <c r="AI87" s="104"/>
      <c r="AJ87" s="104"/>
      <c r="AK87" s="104"/>
      <c r="AL87" s="104"/>
      <c r="AM87" s="104"/>
    </row>
    <row r="88" spans="2:47" x14ac:dyDescent="0.15">
      <c r="B88" s="40" t="s">
        <v>23</v>
      </c>
      <c r="C88" s="101">
        <v>28.906196303693328</v>
      </c>
      <c r="D88" s="105">
        <v>29.489941947696295</v>
      </c>
      <c r="E88" s="105">
        <v>30.819347648925568</v>
      </c>
      <c r="F88" s="105">
        <v>31.484606166633384</v>
      </c>
      <c r="G88" s="105">
        <v>32.651218698026398</v>
      </c>
      <c r="H88" s="105">
        <v>34.025073151775942</v>
      </c>
      <c r="I88" s="105">
        <v>35.506897435921218</v>
      </c>
      <c r="K88" s="98">
        <f t="shared" ref="K88:P91" si="23">D88/C88-1</f>
        <v>2.0194481413951415E-2</v>
      </c>
      <c r="L88" s="17">
        <f t="shared" si="23"/>
        <v>4.5079970099199285E-2</v>
      </c>
      <c r="M88" s="17">
        <f t="shared" si="23"/>
        <v>2.1585742997743518E-2</v>
      </c>
      <c r="N88" s="17">
        <f t="shared" si="23"/>
        <v>3.7053426211484997E-2</v>
      </c>
      <c r="O88" s="17">
        <f t="shared" si="23"/>
        <v>4.2076666921856409E-2</v>
      </c>
      <c r="P88" s="17">
        <f t="shared" si="23"/>
        <v>4.3550950721995108E-2</v>
      </c>
      <c r="R88" s="101">
        <v>29.158794447102732</v>
      </c>
      <c r="S88" s="105">
        <v>29.903230328505767</v>
      </c>
      <c r="T88" s="105">
        <v>30.715683999874969</v>
      </c>
      <c r="U88" s="105">
        <v>31.848852697147933</v>
      </c>
      <c r="V88" s="105">
        <v>33.08745558137074</v>
      </c>
      <c r="W88" s="105">
        <v>34.227803973973245</v>
      </c>
      <c r="X88" s="105">
        <v>35.610607254521767</v>
      </c>
      <c r="Z88" s="98">
        <f t="shared" ref="Z88:AE91" si="24">S88/R88-1</f>
        <v>2.5530406709835862E-2</v>
      </c>
      <c r="AA88" s="17">
        <f t="shared" si="24"/>
        <v>2.7169428267243667E-2</v>
      </c>
      <c r="AB88" s="17">
        <f t="shared" si="24"/>
        <v>3.6892185024353541E-2</v>
      </c>
      <c r="AC88" s="17">
        <f t="shared" si="24"/>
        <v>3.8890031487185173E-2</v>
      </c>
      <c r="AD88" s="17">
        <f t="shared" si="24"/>
        <v>3.4464674680048768E-2</v>
      </c>
      <c r="AE88" s="17">
        <f t="shared" si="24"/>
        <v>4.0399999999999991E-2</v>
      </c>
      <c r="AG88" s="101">
        <f t="shared" ref="AG88:AM91" si="25">C88-R88</f>
        <v>-0.25259814340940423</v>
      </c>
      <c r="AH88" s="105">
        <f t="shared" si="25"/>
        <v>-0.4132883808094725</v>
      </c>
      <c r="AI88" s="105">
        <f t="shared" si="25"/>
        <v>0.1036636490505991</v>
      </c>
      <c r="AJ88" s="105">
        <f t="shared" si="25"/>
        <v>-0.36424653051454925</v>
      </c>
      <c r="AK88" s="105">
        <f t="shared" si="25"/>
        <v>-0.43623688334434263</v>
      </c>
      <c r="AL88" s="105">
        <f t="shared" si="25"/>
        <v>-0.20273082219730298</v>
      </c>
      <c r="AM88" s="105">
        <f t="shared" si="25"/>
        <v>-0.1037098186005494</v>
      </c>
      <c r="AO88" s="17">
        <f t="shared" ref="AO88:AU91" si="26">C88/R88-1</f>
        <v>-8.6628459166117056E-3</v>
      </c>
      <c r="AP88" s="17">
        <f t="shared" si="26"/>
        <v>-1.3820860698634863E-2</v>
      </c>
      <c r="AQ88" s="17">
        <f t="shared" si="26"/>
        <v>3.3749419043060946E-3</v>
      </c>
      <c r="AR88" s="17">
        <f t="shared" si="26"/>
        <v>-1.1436723764531975E-2</v>
      </c>
      <c r="AS88" s="17">
        <f t="shared" si="26"/>
        <v>-1.3184358714786071E-2</v>
      </c>
      <c r="AT88" s="17">
        <f t="shared" si="26"/>
        <v>-5.9229865389979208E-3</v>
      </c>
      <c r="AU88" s="17">
        <f t="shared" si="26"/>
        <v>-2.9123294039693493E-3</v>
      </c>
    </row>
    <row r="89" spans="2:47" x14ac:dyDescent="0.15">
      <c r="B89" s="40" t="s">
        <v>24</v>
      </c>
      <c r="C89" s="101">
        <v>33.188637819731397</v>
      </c>
      <c r="D89" s="105">
        <v>34.063039210538349</v>
      </c>
      <c r="E89" s="105">
        <v>35.527188565335095</v>
      </c>
      <c r="F89" s="105">
        <v>36.476451585064112</v>
      </c>
      <c r="G89" s="105">
        <v>37.638888946866437</v>
      </c>
      <c r="H89" s="105">
        <v>39.222607940392479</v>
      </c>
      <c r="I89" s="105">
        <v>40.930789805992653</v>
      </c>
      <c r="K89" s="98">
        <f t="shared" si="23"/>
        <v>2.6346407935040395E-2</v>
      </c>
      <c r="L89" s="17">
        <f t="shared" si="23"/>
        <v>4.2983520811136877E-2</v>
      </c>
      <c r="M89" s="17">
        <f t="shared" si="23"/>
        <v>2.6719339696224642E-2</v>
      </c>
      <c r="N89" s="17">
        <f t="shared" si="23"/>
        <v>3.1868159080427283E-2</v>
      </c>
      <c r="O89" s="17">
        <f t="shared" si="23"/>
        <v>4.2076666921856409E-2</v>
      </c>
      <c r="P89" s="17">
        <f t="shared" si="23"/>
        <v>4.355095072199533E-2</v>
      </c>
      <c r="R89" s="101">
        <v>33.478658277887632</v>
      </c>
      <c r="S89" s="105">
        <v>34.093528073475646</v>
      </c>
      <c r="T89" s="105">
        <v>34.949579328135385</v>
      </c>
      <c r="U89" s="105">
        <v>36.421050929881687</v>
      </c>
      <c r="V89" s="105">
        <v>37.648279413604463</v>
      </c>
      <c r="W89" s="105">
        <v>38.945815115857911</v>
      </c>
      <c r="X89" s="105">
        <v>40.519226046538577</v>
      </c>
      <c r="Z89" s="98">
        <f t="shared" si="24"/>
        <v>1.836602263102427E-2</v>
      </c>
      <c r="AA89" s="17">
        <f t="shared" si="24"/>
        <v>2.5108907849455964E-2</v>
      </c>
      <c r="AB89" s="17">
        <f t="shared" si="24"/>
        <v>4.2102698516938153E-2</v>
      </c>
      <c r="AC89" s="17">
        <f t="shared" si="24"/>
        <v>3.369558132974948E-2</v>
      </c>
      <c r="AD89" s="17">
        <f t="shared" si="24"/>
        <v>3.4464674680048546E-2</v>
      </c>
      <c r="AE89" s="17">
        <f t="shared" si="24"/>
        <v>4.0400000000000214E-2</v>
      </c>
      <c r="AG89" s="101">
        <f t="shared" si="25"/>
        <v>-0.29002045815623489</v>
      </c>
      <c r="AH89" s="105">
        <f t="shared" si="25"/>
        <v>-3.0488862937296801E-2</v>
      </c>
      <c r="AI89" s="105">
        <f t="shared" si="25"/>
        <v>0.57760923719970947</v>
      </c>
      <c r="AJ89" s="105">
        <f t="shared" si="25"/>
        <v>5.540065518242443E-2</v>
      </c>
      <c r="AK89" s="105">
        <f t="shared" si="25"/>
        <v>-9.3904667380257933E-3</v>
      </c>
      <c r="AL89" s="105">
        <f t="shared" si="25"/>
        <v>0.27679282453456722</v>
      </c>
      <c r="AM89" s="105">
        <f t="shared" si="25"/>
        <v>0.41156375945407575</v>
      </c>
      <c r="AO89" s="17">
        <f t="shared" si="26"/>
        <v>-8.6628459166115945E-3</v>
      </c>
      <c r="AP89" s="17">
        <f t="shared" si="26"/>
        <v>-8.9427127845465026E-4</v>
      </c>
      <c r="AQ89" s="17">
        <f t="shared" si="26"/>
        <v>1.6526929602689533E-2</v>
      </c>
      <c r="AR89" s="17">
        <f t="shared" si="26"/>
        <v>1.5211163260797633E-3</v>
      </c>
      <c r="AS89" s="17">
        <f t="shared" si="26"/>
        <v>-2.494261858519975E-4</v>
      </c>
      <c r="AT89" s="17">
        <f t="shared" si="26"/>
        <v>7.1071262396524837E-3</v>
      </c>
      <c r="AU89" s="17">
        <f t="shared" si="26"/>
        <v>1.0157246315153579E-2</v>
      </c>
    </row>
    <row r="90" spans="2:47" x14ac:dyDescent="0.15">
      <c r="B90" s="40" t="s">
        <v>31</v>
      </c>
      <c r="C90" s="101">
        <v>5.2061702026573622</v>
      </c>
      <c r="D90" s="105">
        <v>5.3540100787768354</v>
      </c>
      <c r="E90" s="105">
        <v>5.5841442824209757</v>
      </c>
      <c r="F90" s="105">
        <v>5.7333489304157119</v>
      </c>
      <c r="G90" s="105">
        <v>5.9517349411055189</v>
      </c>
      <c r="H90" s="105">
        <v>6.2083662739394203</v>
      </c>
      <c r="I90" s="105">
        <v>6.4852252741274521</v>
      </c>
      <c r="K90" s="98">
        <f t="shared" si="23"/>
        <v>2.8397050108736721E-2</v>
      </c>
      <c r="L90" s="17">
        <f t="shared" si="23"/>
        <v>4.2983520811136877E-2</v>
      </c>
      <c r="M90" s="17">
        <f t="shared" si="23"/>
        <v>2.6719339696224642E-2</v>
      </c>
      <c r="N90" s="17">
        <f t="shared" si="23"/>
        <v>3.8090479637696184E-2</v>
      </c>
      <c r="O90" s="17">
        <f t="shared" si="23"/>
        <v>4.3118743588778319E-2</v>
      </c>
      <c r="P90" s="17">
        <f t="shared" si="23"/>
        <v>4.4594501672717168E-2</v>
      </c>
      <c r="R90" s="101">
        <v>5.2516645635773624</v>
      </c>
      <c r="S90" s="105">
        <v>5.3642417289396676</v>
      </c>
      <c r="T90" s="105">
        <v>5.4712991561727451</v>
      </c>
      <c r="U90" s="105">
        <v>5.7016556150410649</v>
      </c>
      <c r="V90" s="105">
        <v>5.9293165746205378</v>
      </c>
      <c r="W90" s="105">
        <v>6.1398022099812941</v>
      </c>
      <c r="X90" s="105">
        <v>6.3942380694838024</v>
      </c>
      <c r="Z90" s="98">
        <f t="shared" si="24"/>
        <v>2.1436472950515206E-2</v>
      </c>
      <c r="AA90" s="17">
        <f t="shared" si="24"/>
        <v>1.9957606804986261E-2</v>
      </c>
      <c r="AB90" s="17">
        <f t="shared" si="24"/>
        <v>4.2102698516938153E-2</v>
      </c>
      <c r="AC90" s="17">
        <f t="shared" si="24"/>
        <v>3.9928921518672444E-2</v>
      </c>
      <c r="AD90" s="17">
        <f t="shared" si="24"/>
        <v>3.5499139354728593E-2</v>
      </c>
      <c r="AE90" s="17">
        <f t="shared" si="24"/>
        <v>4.1440399999999933E-2</v>
      </c>
      <c r="AG90" s="101">
        <f t="shared" si="25"/>
        <v>-4.5494360920000254E-2</v>
      </c>
      <c r="AH90" s="105">
        <f t="shared" si="25"/>
        <v>-1.0231650162832118E-2</v>
      </c>
      <c r="AI90" s="105">
        <f t="shared" si="25"/>
        <v>0.11284512624823062</v>
      </c>
      <c r="AJ90" s="105">
        <f t="shared" si="25"/>
        <v>3.1693315374647035E-2</v>
      </c>
      <c r="AK90" s="105">
        <f t="shared" si="25"/>
        <v>2.2418366484981078E-2</v>
      </c>
      <c r="AL90" s="105">
        <f t="shared" si="25"/>
        <v>6.8564063958126198E-2</v>
      </c>
      <c r="AM90" s="105">
        <f t="shared" si="25"/>
        <v>9.0987204643649733E-2</v>
      </c>
      <c r="AO90" s="17">
        <f t="shared" si="26"/>
        <v>-8.6628459166115945E-3</v>
      </c>
      <c r="AP90" s="17">
        <f t="shared" si="26"/>
        <v>-1.9073805171070379E-3</v>
      </c>
      <c r="AQ90" s="17">
        <f t="shared" si="26"/>
        <v>2.0624923446366239E-2</v>
      </c>
      <c r="AR90" s="17">
        <f t="shared" si="26"/>
        <v>5.558616218601431E-3</v>
      </c>
      <c r="AS90" s="17">
        <f t="shared" si="26"/>
        <v>3.7809359987521773E-3</v>
      </c>
      <c r="AT90" s="17">
        <f t="shared" si="26"/>
        <v>1.1167145392185995E-2</v>
      </c>
      <c r="AU90" s="17">
        <f t="shared" si="26"/>
        <v>1.422956162328104E-2</v>
      </c>
    </row>
    <row r="91" spans="2:47" x14ac:dyDescent="0.15">
      <c r="B91" s="40" t="s">
        <v>36</v>
      </c>
      <c r="C91" s="101">
        <v>62.853250740351953</v>
      </c>
      <c r="D91" s="105">
        <v>64.542911025621521</v>
      </c>
      <c r="E91" s="105">
        <v>67.95479579857772</v>
      </c>
      <c r="F91" s="105">
        <v>69.928717172847357</v>
      </c>
      <c r="G91" s="105">
        <v>72.703010090984947</v>
      </c>
      <c r="H91" s="105">
        <v>75.755908266689858</v>
      </c>
      <c r="I91" s="105">
        <v>79.04867134798485</v>
      </c>
      <c r="K91" s="17">
        <f t="shared" si="23"/>
        <v>2.6882623656962368E-2</v>
      </c>
      <c r="L91" s="17">
        <f t="shared" si="23"/>
        <v>5.2862269747978807E-2</v>
      </c>
      <c r="M91" s="17">
        <f t="shared" si="23"/>
        <v>2.9047565386267404E-2</v>
      </c>
      <c r="N91" s="17">
        <f t="shared" si="23"/>
        <v>3.9673156183892111E-2</v>
      </c>
      <c r="O91" s="17">
        <f t="shared" si="23"/>
        <v>4.1991358705565585E-2</v>
      </c>
      <c r="P91" s="17">
        <f t="shared" si="23"/>
        <v>4.3465429385430854E-2</v>
      </c>
      <c r="R91" s="101">
        <v>63.402496800866331</v>
      </c>
      <c r="S91" s="105">
        <v>65.013792678188821</v>
      </c>
      <c r="T91" s="105">
        <v>67.304439625408421</v>
      </c>
      <c r="U91" s="105">
        <v>70.298182641723784</v>
      </c>
      <c r="V91" s="105">
        <v>73.215345118707589</v>
      </c>
      <c r="W91" s="105">
        <v>75.732554501269874</v>
      </c>
      <c r="X91" s="105">
        <v>78.785761852901928</v>
      </c>
      <c r="Z91" s="17">
        <f t="shared" si="24"/>
        <v>2.5413760634430904E-2</v>
      </c>
      <c r="AA91" s="17">
        <f t="shared" si="24"/>
        <v>3.5233245944565228E-2</v>
      </c>
      <c r="AB91" s="17">
        <f t="shared" si="24"/>
        <v>4.4480617221945851E-2</v>
      </c>
      <c r="AC91" s="17">
        <f t="shared" si="24"/>
        <v>4.1496982814636763E-2</v>
      </c>
      <c r="AD91" s="17">
        <f t="shared" si="24"/>
        <v>3.4380898956100081E-2</v>
      </c>
      <c r="AE91" s="17">
        <f t="shared" si="24"/>
        <v>4.0315652518770673E-2</v>
      </c>
      <c r="AG91" s="101">
        <f t="shared" si="25"/>
        <v>-0.54924606051437763</v>
      </c>
      <c r="AH91" s="105">
        <f t="shared" si="25"/>
        <v>-0.47088165256730008</v>
      </c>
      <c r="AI91" s="105">
        <f t="shared" si="25"/>
        <v>0.65035617316929972</v>
      </c>
      <c r="AJ91" s="105">
        <f t="shared" si="25"/>
        <v>-0.36946546887642739</v>
      </c>
      <c r="AK91" s="105">
        <f t="shared" si="25"/>
        <v>-0.51233502772264217</v>
      </c>
      <c r="AL91" s="105">
        <f t="shared" si="25"/>
        <v>2.3353765419983574E-2</v>
      </c>
      <c r="AM91" s="105">
        <f t="shared" si="25"/>
        <v>0.26290949508292272</v>
      </c>
      <c r="AO91" s="17">
        <f t="shared" si="26"/>
        <v>-8.6628459166118166E-3</v>
      </c>
      <c r="AP91" s="17">
        <f t="shared" si="26"/>
        <v>-7.2427962309185023E-3</v>
      </c>
      <c r="AQ91" s="17">
        <f t="shared" si="26"/>
        <v>9.6629015379807726E-3</v>
      </c>
      <c r="AR91" s="17">
        <f t="shared" si="26"/>
        <v>-5.2556901898789254E-3</v>
      </c>
      <c r="AS91" s="17">
        <f t="shared" si="26"/>
        <v>-6.9976454647856512E-3</v>
      </c>
      <c r="AT91" s="17">
        <f t="shared" si="26"/>
        <v>3.0837155268015337E-4</v>
      </c>
      <c r="AU91" s="17">
        <f t="shared" si="26"/>
        <v>3.3370178684544172E-3</v>
      </c>
    </row>
    <row r="92" spans="2:47" ht="4" customHeight="1" x14ac:dyDescent="0.15">
      <c r="B92" s="36"/>
      <c r="C92" s="36"/>
      <c r="D92" s="106"/>
      <c r="E92" s="106"/>
      <c r="F92" s="106"/>
      <c r="G92" s="106"/>
      <c r="H92" s="106"/>
      <c r="I92" s="106"/>
      <c r="K92" s="36"/>
      <c r="L92" s="36"/>
      <c r="M92" s="36"/>
      <c r="N92" s="36"/>
      <c r="O92" s="36"/>
      <c r="P92" s="36"/>
      <c r="R92" s="36"/>
      <c r="S92" s="106"/>
      <c r="T92" s="106"/>
      <c r="U92" s="106"/>
      <c r="V92" s="106"/>
      <c r="W92" s="106"/>
      <c r="X92" s="106"/>
      <c r="Z92" s="36"/>
      <c r="AA92" s="36"/>
      <c r="AB92" s="36"/>
      <c r="AC92" s="36"/>
      <c r="AD92" s="36"/>
      <c r="AE92" s="36"/>
      <c r="AG92" s="36"/>
      <c r="AH92" s="106"/>
      <c r="AI92" s="106"/>
      <c r="AJ92" s="106"/>
      <c r="AK92" s="106"/>
      <c r="AL92" s="106"/>
      <c r="AM92" s="106"/>
      <c r="AO92" s="36"/>
      <c r="AP92" s="36"/>
      <c r="AQ92" s="36"/>
      <c r="AR92" s="36"/>
      <c r="AS92" s="36"/>
      <c r="AT92" s="36"/>
      <c r="AU92" s="36"/>
    </row>
    <row r="94" spans="2:47" x14ac:dyDescent="0.15">
      <c r="C94" s="16"/>
      <c r="D94" s="16"/>
      <c r="E94" s="16"/>
      <c r="F94" s="16"/>
      <c r="G94" s="16"/>
      <c r="H94" s="16"/>
      <c r="I94" s="16"/>
      <c r="R94" s="16"/>
      <c r="S94" s="16"/>
      <c r="T94" s="16"/>
      <c r="U94" s="16"/>
      <c r="V94" s="16"/>
      <c r="W94" s="16"/>
      <c r="X94" s="16"/>
      <c r="AG94" s="16"/>
      <c r="AH94" s="16"/>
      <c r="AI94" s="16"/>
      <c r="AJ94" s="16"/>
      <c r="AK94" s="16"/>
      <c r="AL94" s="16"/>
      <c r="AM94" s="16"/>
      <c r="AO94" s="16"/>
      <c r="AP94" s="16"/>
      <c r="AQ94" s="16"/>
      <c r="AR94" s="16"/>
      <c r="AS94" s="16"/>
      <c r="AT94" s="16"/>
      <c r="AU94" s="16"/>
    </row>
    <row r="95" spans="2:47" x14ac:dyDescent="0.15">
      <c r="C95" s="16"/>
      <c r="D95" s="16"/>
      <c r="E95" s="16"/>
      <c r="F95" s="16"/>
      <c r="G95" s="16"/>
      <c r="H95" s="16"/>
      <c r="I95" s="16"/>
      <c r="R95" s="16"/>
      <c r="S95" s="16"/>
      <c r="T95" s="16"/>
      <c r="U95" s="16"/>
      <c r="V95" s="16"/>
      <c r="W95" s="16"/>
      <c r="X95" s="16"/>
      <c r="AG95" s="16"/>
      <c r="AH95" s="16"/>
      <c r="AI95" s="16"/>
      <c r="AJ95" s="16"/>
      <c r="AK95" s="16"/>
      <c r="AL95" s="16"/>
      <c r="AM95" s="16"/>
      <c r="AO95" s="16"/>
      <c r="AP95" s="16"/>
      <c r="AQ95" s="16"/>
      <c r="AR95" s="16"/>
      <c r="AS95" s="16"/>
      <c r="AT95" s="16"/>
      <c r="AU95" s="16"/>
    </row>
    <row r="96" spans="2:47" ht="16" x14ac:dyDescent="0.2">
      <c r="B96" s="1" t="s">
        <v>41</v>
      </c>
      <c r="C96" s="1"/>
      <c r="D96" s="1"/>
      <c r="E96" s="1"/>
      <c r="F96" s="1"/>
      <c r="G96" s="1"/>
      <c r="H96" s="1"/>
      <c r="I96" s="1"/>
      <c r="T96" s="1"/>
      <c r="U96" s="1"/>
      <c r="V96" s="1"/>
      <c r="W96" s="1"/>
      <c r="X96" s="1"/>
      <c r="AI96" s="1"/>
      <c r="AJ96" s="1"/>
      <c r="AK96" s="1"/>
      <c r="AL96" s="1"/>
      <c r="AM96" s="1"/>
      <c r="AQ96" s="1"/>
      <c r="AR96" s="1"/>
      <c r="AS96" s="1"/>
      <c r="AT96" s="1"/>
      <c r="AU96" s="1"/>
    </row>
    <row r="97" spans="2:47" ht="4" customHeight="1" x14ac:dyDescent="0.2">
      <c r="B97" s="4"/>
      <c r="C97" s="75"/>
      <c r="D97" s="3"/>
      <c r="R97" s="75"/>
      <c r="S97" s="3"/>
      <c r="AG97" s="75"/>
      <c r="AH97" s="3"/>
      <c r="AO97" s="75"/>
      <c r="AP97" s="3"/>
    </row>
    <row r="98" spans="2:47" x14ac:dyDescent="0.15">
      <c r="C98" s="5">
        <v>2024</v>
      </c>
      <c r="D98" s="6">
        <v>2025</v>
      </c>
      <c r="E98" s="6">
        <v>2026</v>
      </c>
      <c r="F98" s="6">
        <v>2027</v>
      </c>
      <c r="G98" s="6">
        <v>2028</v>
      </c>
      <c r="H98" s="6">
        <v>2029</v>
      </c>
      <c r="I98" s="6">
        <v>2030</v>
      </c>
      <c r="K98" s="5">
        <v>2025</v>
      </c>
      <c r="L98" s="5">
        <v>2026</v>
      </c>
      <c r="M98" s="5">
        <v>2027</v>
      </c>
      <c r="N98" s="5">
        <v>2028</v>
      </c>
      <c r="O98" s="5">
        <v>2029</v>
      </c>
      <c r="P98" s="5">
        <v>2030</v>
      </c>
      <c r="Q98" s="7"/>
      <c r="R98" s="5">
        <v>2024</v>
      </c>
      <c r="S98" s="6">
        <v>2025</v>
      </c>
      <c r="T98" s="6">
        <v>2026</v>
      </c>
      <c r="U98" s="6">
        <v>2027</v>
      </c>
      <c r="V98" s="6">
        <v>2028</v>
      </c>
      <c r="W98" s="6">
        <v>2029</v>
      </c>
      <c r="X98" s="6">
        <v>2030</v>
      </c>
      <c r="Z98" s="5">
        <v>2025</v>
      </c>
      <c r="AA98" s="5">
        <v>2026</v>
      </c>
      <c r="AB98" s="5">
        <v>2027</v>
      </c>
      <c r="AC98" s="5">
        <v>2028</v>
      </c>
      <c r="AD98" s="5">
        <v>2029</v>
      </c>
      <c r="AE98" s="5">
        <v>2030</v>
      </c>
      <c r="AG98" s="5">
        <v>2024</v>
      </c>
      <c r="AH98" s="6">
        <v>2025</v>
      </c>
      <c r="AI98" s="6">
        <v>2026</v>
      </c>
      <c r="AJ98" s="6">
        <v>2027</v>
      </c>
      <c r="AK98" s="6">
        <v>2028</v>
      </c>
      <c r="AL98" s="6">
        <v>2029</v>
      </c>
      <c r="AM98" s="6">
        <v>2030</v>
      </c>
      <c r="AO98" s="5">
        <v>2024</v>
      </c>
      <c r="AP98" s="5">
        <v>2025</v>
      </c>
      <c r="AQ98" s="5">
        <v>2026</v>
      </c>
      <c r="AR98" s="5">
        <v>2027</v>
      </c>
      <c r="AS98" s="5">
        <v>2028</v>
      </c>
      <c r="AT98" s="5">
        <v>2029</v>
      </c>
      <c r="AU98" s="5">
        <v>2030</v>
      </c>
    </row>
    <row r="99" spans="2:47" ht="4" customHeight="1" x14ac:dyDescent="0.15">
      <c r="D99" s="8"/>
      <c r="E99" s="8"/>
      <c r="F99" s="8"/>
      <c r="G99" s="8"/>
      <c r="H99" s="8"/>
      <c r="I99" s="8"/>
      <c r="S99" s="8"/>
      <c r="T99" s="8"/>
      <c r="U99" s="8"/>
      <c r="V99" s="8"/>
      <c r="W99" s="8"/>
      <c r="X99" s="8"/>
      <c r="AH99" s="8"/>
      <c r="AI99" s="8"/>
      <c r="AJ99" s="8"/>
      <c r="AK99" s="8"/>
      <c r="AL99" s="8"/>
      <c r="AM99" s="8"/>
    </row>
    <row r="100" spans="2:47" x14ac:dyDescent="0.15">
      <c r="B100" s="7" t="s">
        <v>7</v>
      </c>
      <c r="C100" s="12">
        <v>16516.406333414267</v>
      </c>
      <c r="D100" s="52">
        <v>16407.088882773925</v>
      </c>
      <c r="E100" s="52">
        <v>16804.191834137695</v>
      </c>
      <c r="F100" s="52">
        <v>17456.357670208839</v>
      </c>
      <c r="G100" s="52">
        <v>18186.821386785443</v>
      </c>
      <c r="H100" s="52">
        <v>18917.027920149518</v>
      </c>
      <c r="I100" s="52">
        <v>19651.401010210706</v>
      </c>
      <c r="K100" s="44">
        <f t="shared" ref="K100:P122" si="27">D100/C100-1</f>
        <v>-6.6187188928127361E-3</v>
      </c>
      <c r="L100" s="44">
        <f t="shared" si="27"/>
        <v>2.4203132816614126E-2</v>
      </c>
      <c r="M100" s="44">
        <f t="shared" si="27"/>
        <v>3.8809711440348504E-2</v>
      </c>
      <c r="N100" s="44">
        <f t="shared" si="27"/>
        <v>4.1845139196661885E-2</v>
      </c>
      <c r="O100" s="44">
        <f t="shared" si="27"/>
        <v>4.0150310922096866E-2</v>
      </c>
      <c r="P100" s="44">
        <f t="shared" si="27"/>
        <v>3.8820743573517058E-2</v>
      </c>
      <c r="Q100" s="116"/>
      <c r="R100" s="12">
        <v>16516.406333414267</v>
      </c>
      <c r="S100" s="52">
        <v>16187.905784120476</v>
      </c>
      <c r="T100" s="52">
        <v>16630.227663585138</v>
      </c>
      <c r="U100" s="52">
        <v>17289.215928830083</v>
      </c>
      <c r="V100" s="52">
        <v>18057.805015585738</v>
      </c>
      <c r="W100" s="52">
        <v>18765.160177167731</v>
      </c>
      <c r="X100" s="52">
        <v>19522.571804192317</v>
      </c>
      <c r="Z100" s="44">
        <f t="shared" ref="Z100:AE100" si="28">S100/R100-1</f>
        <v>-1.9889347758973663E-2</v>
      </c>
      <c r="AA100" s="44">
        <f t="shared" si="28"/>
        <v>2.7324218794166466E-2</v>
      </c>
      <c r="AB100" s="44">
        <f t="shared" si="28"/>
        <v>3.9625931681495752E-2</v>
      </c>
      <c r="AC100" s="44">
        <f t="shared" si="28"/>
        <v>4.4454826055704499E-2</v>
      </c>
      <c r="AD100" s="44">
        <f t="shared" si="28"/>
        <v>3.9171713337887493E-2</v>
      </c>
      <c r="AE100" s="44">
        <f t="shared" si="28"/>
        <v>4.0362651843822706E-2</v>
      </c>
      <c r="AG100" s="12">
        <f t="shared" ref="AG100:AM122" si="29">C100-R100</f>
        <v>0</v>
      </c>
      <c r="AH100" s="52">
        <f t="shared" si="29"/>
        <v>219.18309865344963</v>
      </c>
      <c r="AI100" s="52">
        <f t="shared" si="29"/>
        <v>173.96417055255733</v>
      </c>
      <c r="AJ100" s="52">
        <f t="shared" si="29"/>
        <v>167.14174137875671</v>
      </c>
      <c r="AK100" s="52">
        <f t="shared" si="29"/>
        <v>129.01637119970474</v>
      </c>
      <c r="AL100" s="52">
        <f t="shared" si="29"/>
        <v>151.86774298178716</v>
      </c>
      <c r="AM100" s="52">
        <f t="shared" si="29"/>
        <v>128.8292060183885</v>
      </c>
      <c r="AO100" s="44">
        <f t="shared" ref="AO100:AU122" si="30">C100/R100-1</f>
        <v>0</v>
      </c>
      <c r="AP100" s="44">
        <f t="shared" si="30"/>
        <v>1.3539929227192493E-2</v>
      </c>
      <c r="AQ100" s="44">
        <f t="shared" si="30"/>
        <v>1.0460720927680578E-2</v>
      </c>
      <c r="AR100" s="44">
        <f t="shared" si="30"/>
        <v>9.6673985718487287E-3</v>
      </c>
      <c r="AS100" s="44">
        <f t="shared" si="30"/>
        <v>7.1446319798198488E-3</v>
      </c>
      <c r="AT100" s="44">
        <f t="shared" si="30"/>
        <v>8.0930693662060182E-3</v>
      </c>
      <c r="AU100" s="44">
        <f t="shared" si="30"/>
        <v>6.5989874341618737E-3</v>
      </c>
    </row>
    <row r="101" spans="2:47" ht="4" customHeight="1" x14ac:dyDescent="0.15">
      <c r="C101" s="18"/>
      <c r="D101" s="19"/>
      <c r="E101" s="19"/>
      <c r="F101" s="19"/>
      <c r="G101" s="19"/>
      <c r="H101" s="19"/>
      <c r="I101" s="19"/>
      <c r="K101" s="18"/>
      <c r="L101" s="18"/>
      <c r="M101" s="18"/>
      <c r="N101" s="18"/>
      <c r="O101" s="18"/>
      <c r="P101" s="18"/>
      <c r="Q101" s="18"/>
      <c r="R101" s="18"/>
      <c r="S101" s="19"/>
      <c r="T101" s="19"/>
      <c r="U101" s="19"/>
      <c r="V101" s="19"/>
      <c r="W101" s="19"/>
      <c r="X101" s="19"/>
      <c r="Z101" s="18"/>
      <c r="AA101" s="18"/>
      <c r="AB101" s="18"/>
      <c r="AC101" s="18"/>
      <c r="AD101" s="18"/>
      <c r="AE101" s="18"/>
      <c r="AG101" s="18"/>
      <c r="AH101" s="19"/>
      <c r="AI101" s="19"/>
      <c r="AJ101" s="19"/>
      <c r="AK101" s="19"/>
      <c r="AL101" s="19"/>
      <c r="AM101" s="19"/>
      <c r="AO101" s="17"/>
      <c r="AP101" s="17"/>
      <c r="AQ101" s="17"/>
      <c r="AR101" s="17"/>
      <c r="AS101" s="17"/>
      <c r="AT101" s="17"/>
      <c r="AU101" s="17"/>
    </row>
    <row r="102" spans="2:47" x14ac:dyDescent="0.15">
      <c r="B102" s="20" t="s">
        <v>42</v>
      </c>
      <c r="C102" s="18">
        <v>647</v>
      </c>
      <c r="D102" s="19">
        <v>599</v>
      </c>
      <c r="E102" s="19">
        <v>622.28741599784962</v>
      </c>
      <c r="F102" s="19">
        <v>695.04319903613555</v>
      </c>
      <c r="G102" s="19">
        <v>769.4694723359321</v>
      </c>
      <c r="H102" s="19">
        <v>848.15492953469561</v>
      </c>
      <c r="I102" s="19">
        <v>939.46616611241927</v>
      </c>
      <c r="K102" s="17">
        <f t="shared" si="27"/>
        <v>-7.4188562596599672E-2</v>
      </c>
      <c r="L102" s="17">
        <f t="shared" si="27"/>
        <v>3.8877155255174767E-2</v>
      </c>
      <c r="M102" s="17">
        <f t="shared" si="27"/>
        <v>0.11691668699682878</v>
      </c>
      <c r="N102" s="17">
        <f t="shared" si="27"/>
        <v>0.10708150716819986</v>
      </c>
      <c r="O102" s="17">
        <f t="shared" si="27"/>
        <v>0.10225936184302742</v>
      </c>
      <c r="P102" s="17">
        <f t="shared" si="27"/>
        <v>0.10765867578912469</v>
      </c>
      <c r="Q102" s="98"/>
      <c r="R102" s="18">
        <v>647</v>
      </c>
      <c r="S102" s="19">
        <v>634.76861374203543</v>
      </c>
      <c r="T102" s="19">
        <v>664.09548161086377</v>
      </c>
      <c r="U102" s="19">
        <v>734.19049610076502</v>
      </c>
      <c r="V102" s="19">
        <v>802.0457690964106</v>
      </c>
      <c r="W102" s="19">
        <v>890.63280090531123</v>
      </c>
      <c r="X102" s="19">
        <v>982.16303092326984</v>
      </c>
      <c r="Z102" s="17">
        <f t="shared" ref="Z102:AE118" si="31">S102/R102-1</f>
        <v>-1.8904770105045654E-2</v>
      </c>
      <c r="AA102" s="17">
        <f t="shared" si="31"/>
        <v>4.6200878924909317E-2</v>
      </c>
      <c r="AB102" s="17">
        <f t="shared" si="31"/>
        <v>0.1055496030779719</v>
      </c>
      <c r="AC102" s="17">
        <f t="shared" si="31"/>
        <v>9.2421889626766118E-2</v>
      </c>
      <c r="AD102" s="17">
        <f t="shared" si="31"/>
        <v>0.11045134233262432</v>
      </c>
      <c r="AE102" s="17">
        <f t="shared" si="31"/>
        <v>0.10276988442927304</v>
      </c>
      <c r="AG102" s="18">
        <f t="shared" si="29"/>
        <v>0</v>
      </c>
      <c r="AH102" s="19">
        <f t="shared" si="29"/>
        <v>-35.768613742035427</v>
      </c>
      <c r="AI102" s="19">
        <f t="shared" si="29"/>
        <v>-41.808065613014151</v>
      </c>
      <c r="AJ102" s="19">
        <f t="shared" si="29"/>
        <v>-39.14729706462947</v>
      </c>
      <c r="AK102" s="19">
        <f t="shared" si="29"/>
        <v>-32.576296760478499</v>
      </c>
      <c r="AL102" s="19">
        <f t="shared" si="29"/>
        <v>-42.477871370615617</v>
      </c>
      <c r="AM102" s="19">
        <f t="shared" si="29"/>
        <v>-42.69686481085057</v>
      </c>
      <c r="AO102" s="17">
        <f t="shared" si="30"/>
        <v>0</v>
      </c>
      <c r="AP102" s="17">
        <f t="shared" si="30"/>
        <v>-5.6349058487903614E-2</v>
      </c>
      <c r="AQ102" s="17">
        <f t="shared" si="30"/>
        <v>-6.295490147230387E-2</v>
      </c>
      <c r="AR102" s="17">
        <f t="shared" si="30"/>
        <v>-5.3320353876191606E-2</v>
      </c>
      <c r="AS102" s="17">
        <f t="shared" si="30"/>
        <v>-4.0616505959727434E-2</v>
      </c>
      <c r="AT102" s="17">
        <f t="shared" si="30"/>
        <v>-4.7694034317440015E-2</v>
      </c>
      <c r="AU102" s="17">
        <f t="shared" si="30"/>
        <v>-4.3472278498116523E-2</v>
      </c>
    </row>
    <row r="103" spans="2:47" x14ac:dyDescent="0.15">
      <c r="B103" s="20" t="s">
        <v>43</v>
      </c>
      <c r="C103" s="18">
        <v>602</v>
      </c>
      <c r="D103" s="19">
        <v>666</v>
      </c>
      <c r="E103" s="19">
        <v>642.5916058872341</v>
      </c>
      <c r="F103" s="19">
        <v>665.34554745163109</v>
      </c>
      <c r="G103" s="19">
        <v>692.35611302790755</v>
      </c>
      <c r="H103" s="19">
        <v>718.91672647945143</v>
      </c>
      <c r="I103" s="19">
        <v>744.56957631724674</v>
      </c>
      <c r="K103" s="17">
        <f t="shared" si="27"/>
        <v>0.10631229235880402</v>
      </c>
      <c r="L103" s="17">
        <f t="shared" si="27"/>
        <v>-3.5147738908056891E-2</v>
      </c>
      <c r="M103" s="17">
        <f t="shared" si="27"/>
        <v>3.5409646431624919E-2</v>
      </c>
      <c r="N103" s="17">
        <f t="shared" si="27"/>
        <v>4.0596297186823893E-2</v>
      </c>
      <c r="O103" s="17">
        <f t="shared" si="27"/>
        <v>3.8362647417649498E-2</v>
      </c>
      <c r="P103" s="17">
        <f t="shared" si="27"/>
        <v>3.5682644307662548E-2</v>
      </c>
      <c r="Q103" s="98"/>
      <c r="R103" s="18">
        <v>602</v>
      </c>
      <c r="S103" s="19">
        <v>606.37108589951367</v>
      </c>
      <c r="T103" s="19">
        <v>622.23871312803885</v>
      </c>
      <c r="U103" s="19">
        <v>644.44237084278757</v>
      </c>
      <c r="V103" s="19">
        <v>664.97209779578588</v>
      </c>
      <c r="W103" s="19">
        <v>683.05249930259299</v>
      </c>
      <c r="X103" s="19">
        <v>702.7543077141296</v>
      </c>
      <c r="Z103" s="17">
        <f t="shared" si="31"/>
        <v>7.2609400324148421E-3</v>
      </c>
      <c r="AA103" s="17">
        <f t="shared" si="31"/>
        <v>2.6168179185170892E-2</v>
      </c>
      <c r="AB103" s="17">
        <f t="shared" si="31"/>
        <v>3.5683504170175073E-2</v>
      </c>
      <c r="AC103" s="17">
        <f t="shared" si="31"/>
        <v>3.1856575361657313E-2</v>
      </c>
      <c r="AD103" s="17">
        <f t="shared" si="31"/>
        <v>2.7189714525976516E-2</v>
      </c>
      <c r="AE103" s="17">
        <f t="shared" si="31"/>
        <v>2.8843768863524355E-2</v>
      </c>
      <c r="AG103" s="18">
        <f t="shared" si="29"/>
        <v>0</v>
      </c>
      <c r="AH103" s="19">
        <f t="shared" si="29"/>
        <v>59.628914100486327</v>
      </c>
      <c r="AI103" s="19">
        <f t="shared" si="29"/>
        <v>20.352892759195242</v>
      </c>
      <c r="AJ103" s="19">
        <f t="shared" si="29"/>
        <v>20.903176608843523</v>
      </c>
      <c r="AK103" s="19">
        <f t="shared" si="29"/>
        <v>27.384015232121669</v>
      </c>
      <c r="AL103" s="19">
        <f t="shared" si="29"/>
        <v>35.864227176858435</v>
      </c>
      <c r="AM103" s="19">
        <f t="shared" si="29"/>
        <v>41.815268603117147</v>
      </c>
      <c r="AO103" s="17">
        <f t="shared" si="30"/>
        <v>0</v>
      </c>
      <c r="AP103" s="17">
        <f t="shared" si="30"/>
        <v>9.8337330864037842E-2</v>
      </c>
      <c r="AQ103" s="17">
        <f t="shared" si="30"/>
        <v>3.2709139321916769E-2</v>
      </c>
      <c r="AR103" s="17">
        <f t="shared" si="30"/>
        <v>3.2436068071543422E-2</v>
      </c>
      <c r="AS103" s="17">
        <f t="shared" si="30"/>
        <v>4.1180698141911165E-2</v>
      </c>
      <c r="AT103" s="17">
        <f t="shared" si="30"/>
        <v>5.2505813555292491E-2</v>
      </c>
      <c r="AU103" s="17">
        <f t="shared" si="30"/>
        <v>5.9501974081284548E-2</v>
      </c>
    </row>
    <row r="104" spans="2:47" x14ac:dyDescent="0.15">
      <c r="B104" s="20" t="s">
        <v>44</v>
      </c>
      <c r="C104" s="18">
        <v>377</v>
      </c>
      <c r="D104" s="19">
        <v>410</v>
      </c>
      <c r="E104" s="19">
        <v>418.97718268693131</v>
      </c>
      <c r="F104" s="19">
        <v>442.82346490875818</v>
      </c>
      <c r="G104" s="19">
        <v>479.77669446703595</v>
      </c>
      <c r="H104" s="19">
        <v>515.38739754440087</v>
      </c>
      <c r="I104" s="19">
        <v>560.10720790795142</v>
      </c>
      <c r="K104" s="17">
        <f t="shared" si="27"/>
        <v>8.7533156498673659E-2</v>
      </c>
      <c r="L104" s="17">
        <f t="shared" si="27"/>
        <v>2.1895567529100823E-2</v>
      </c>
      <c r="M104" s="17">
        <f t="shared" si="27"/>
        <v>5.6915467493716232E-2</v>
      </c>
      <c r="N104" s="17">
        <f t="shared" si="27"/>
        <v>8.3449122475684145E-2</v>
      </c>
      <c r="O104" s="17">
        <f t="shared" si="27"/>
        <v>7.4223494988482797E-2</v>
      </c>
      <c r="P104" s="17">
        <f t="shared" si="27"/>
        <v>8.6769312902529538E-2</v>
      </c>
      <c r="Q104" s="98"/>
      <c r="R104" s="18">
        <v>377</v>
      </c>
      <c r="S104" s="19">
        <v>399.90648139792171</v>
      </c>
      <c r="T104" s="19">
        <v>416.41014518038043</v>
      </c>
      <c r="U104" s="19">
        <v>441.27029938227099</v>
      </c>
      <c r="V104" s="19">
        <v>478.44376808659769</v>
      </c>
      <c r="W104" s="19">
        <v>511.09151726928286</v>
      </c>
      <c r="X104" s="19">
        <v>556.87312240446238</v>
      </c>
      <c r="Z104" s="17">
        <f t="shared" si="31"/>
        <v>6.0759897607219449E-2</v>
      </c>
      <c r="AA104" s="17">
        <f t="shared" si="31"/>
        <v>4.1268807959221165E-2</v>
      </c>
      <c r="AB104" s="17">
        <f t="shared" si="31"/>
        <v>5.9701125175808611E-2</v>
      </c>
      <c r="AC104" s="17">
        <f t="shared" si="31"/>
        <v>8.4241945937366225E-2</v>
      </c>
      <c r="AD104" s="17">
        <f t="shared" si="31"/>
        <v>6.823737993965473E-2</v>
      </c>
      <c r="AE104" s="17">
        <f t="shared" si="31"/>
        <v>8.9576139670223043E-2</v>
      </c>
      <c r="AG104" s="18">
        <f t="shared" si="29"/>
        <v>0</v>
      </c>
      <c r="AH104" s="19">
        <f t="shared" si="29"/>
        <v>10.093518602078291</v>
      </c>
      <c r="AI104" s="19">
        <f t="shared" si="29"/>
        <v>2.5670375065508892</v>
      </c>
      <c r="AJ104" s="19">
        <f t="shared" si="29"/>
        <v>1.5531655264871915</v>
      </c>
      <c r="AK104" s="19">
        <f t="shared" si="29"/>
        <v>1.3329263804382663</v>
      </c>
      <c r="AL104" s="19">
        <f t="shared" si="29"/>
        <v>4.2958802751180087</v>
      </c>
      <c r="AM104" s="19">
        <f t="shared" si="29"/>
        <v>3.234085503489041</v>
      </c>
      <c r="AO104" s="17">
        <f t="shared" si="30"/>
        <v>0</v>
      </c>
      <c r="AP104" s="17">
        <f t="shared" si="30"/>
        <v>2.5239697458253607E-2</v>
      </c>
      <c r="AQ104" s="17">
        <f t="shared" si="30"/>
        <v>6.1646853138961344E-3</v>
      </c>
      <c r="AR104" s="17">
        <f t="shared" si="30"/>
        <v>3.5197599490865983E-3</v>
      </c>
      <c r="AS104" s="17">
        <f t="shared" si="30"/>
        <v>2.7859624669559491E-3</v>
      </c>
      <c r="AT104" s="17">
        <f t="shared" si="30"/>
        <v>8.4053053708863512E-3</v>
      </c>
      <c r="AU104" s="17">
        <f t="shared" si="30"/>
        <v>5.807580530237999E-3</v>
      </c>
    </row>
    <row r="105" spans="2:47" x14ac:dyDescent="0.15">
      <c r="B105" s="20" t="s">
        <v>45</v>
      </c>
      <c r="C105" s="18">
        <v>435</v>
      </c>
      <c r="D105" s="19">
        <v>368</v>
      </c>
      <c r="E105" s="19">
        <v>382.45981908034526</v>
      </c>
      <c r="F105" s="19">
        <v>422.84451529317465</v>
      </c>
      <c r="G105" s="19">
        <v>461.30699358247614</v>
      </c>
      <c r="H105" s="19">
        <v>501.430616501087</v>
      </c>
      <c r="I105" s="19">
        <v>542.06566290013814</v>
      </c>
      <c r="K105" s="17">
        <f t="shared" si="27"/>
        <v>-0.15402298850574714</v>
      </c>
      <c r="L105" s="17">
        <f t="shared" si="27"/>
        <v>3.9292986631372928E-2</v>
      </c>
      <c r="M105" s="17">
        <f t="shared" si="27"/>
        <v>0.10559199737618874</v>
      </c>
      <c r="N105" s="17">
        <f t="shared" si="27"/>
        <v>9.096127985161151E-2</v>
      </c>
      <c r="O105" s="17">
        <f t="shared" si="27"/>
        <v>8.6978137068796091E-2</v>
      </c>
      <c r="P105" s="17">
        <f t="shared" si="27"/>
        <v>8.1038223558419276E-2</v>
      </c>
      <c r="Q105" s="98"/>
      <c r="R105" s="18">
        <v>435</v>
      </c>
      <c r="S105" s="19">
        <v>420.70752299837665</v>
      </c>
      <c r="T105" s="19">
        <v>443.20058565277753</v>
      </c>
      <c r="U105" s="19">
        <v>485.81031358377658</v>
      </c>
      <c r="V105" s="19">
        <v>530.16538488163735</v>
      </c>
      <c r="W105" s="19">
        <v>576.39620250046005</v>
      </c>
      <c r="X105" s="19">
        <v>632.02690943244613</v>
      </c>
      <c r="Z105" s="17">
        <f t="shared" si="31"/>
        <v>-3.2856268969249092E-2</v>
      </c>
      <c r="AA105" s="17">
        <f t="shared" si="31"/>
        <v>5.3464845349313395E-2</v>
      </c>
      <c r="AB105" s="17">
        <f t="shared" si="31"/>
        <v>9.6140955834344011E-2</v>
      </c>
      <c r="AC105" s="17">
        <f t="shared" si="31"/>
        <v>9.1301213781686874E-2</v>
      </c>
      <c r="AD105" s="17">
        <f t="shared" si="31"/>
        <v>8.720074704451708E-2</v>
      </c>
      <c r="AE105" s="17">
        <f t="shared" si="31"/>
        <v>9.6514700635873307E-2</v>
      </c>
      <c r="AG105" s="18">
        <f t="shared" si="29"/>
        <v>0</v>
      </c>
      <c r="AH105" s="19">
        <f t="shared" si="29"/>
        <v>-52.707522998376646</v>
      </c>
      <c r="AI105" s="19">
        <f t="shared" si="29"/>
        <v>-60.740766572432278</v>
      </c>
      <c r="AJ105" s="19">
        <f t="shared" si="29"/>
        <v>-62.965798290601924</v>
      </c>
      <c r="AK105" s="19">
        <f t="shared" si="29"/>
        <v>-68.858391299161212</v>
      </c>
      <c r="AL105" s="19">
        <f t="shared" si="29"/>
        <v>-74.965585999373047</v>
      </c>
      <c r="AM105" s="19">
        <f t="shared" si="29"/>
        <v>-89.961246532307996</v>
      </c>
      <c r="AO105" s="17">
        <f t="shared" si="30"/>
        <v>0</v>
      </c>
      <c r="AP105" s="17">
        <f t="shared" si="30"/>
        <v>-0.12528305323073585</v>
      </c>
      <c r="AQ105" s="17">
        <f t="shared" si="30"/>
        <v>-0.13705028499222072</v>
      </c>
      <c r="AR105" s="17">
        <f t="shared" si="30"/>
        <v>-0.12960984262789566</v>
      </c>
      <c r="AS105" s="17">
        <f t="shared" si="30"/>
        <v>-0.12988096405904404</v>
      </c>
      <c r="AT105" s="17">
        <f t="shared" si="30"/>
        <v>-0.1300591254317176</v>
      </c>
      <c r="AU105" s="17">
        <f t="shared" si="30"/>
        <v>-0.14233768402850488</v>
      </c>
    </row>
    <row r="106" spans="2:47" x14ac:dyDescent="0.15">
      <c r="B106" s="20" t="s">
        <v>46</v>
      </c>
      <c r="C106" s="18">
        <v>432</v>
      </c>
      <c r="D106" s="19">
        <v>410</v>
      </c>
      <c r="E106" s="19">
        <v>416.76380024411367</v>
      </c>
      <c r="F106" s="19">
        <v>435.90349306779899</v>
      </c>
      <c r="G106" s="19">
        <v>462.22539041488881</v>
      </c>
      <c r="H106" s="19">
        <v>499.90432262119617</v>
      </c>
      <c r="I106" s="19">
        <v>537.86696897201045</v>
      </c>
      <c r="K106" s="17">
        <f t="shared" si="27"/>
        <v>-5.092592592592593E-2</v>
      </c>
      <c r="L106" s="17">
        <f t="shared" si="27"/>
        <v>1.6497073766130965E-2</v>
      </c>
      <c r="M106" s="17">
        <f t="shared" si="27"/>
        <v>4.5924556817253492E-2</v>
      </c>
      <c r="N106" s="17">
        <f t="shared" si="27"/>
        <v>6.0384690110743877E-2</v>
      </c>
      <c r="O106" s="17">
        <f t="shared" si="27"/>
        <v>8.1516361904063972E-2</v>
      </c>
      <c r="P106" s="17">
        <f t="shared" si="27"/>
        <v>7.5939824148271162E-2</v>
      </c>
      <c r="Q106" s="98"/>
      <c r="R106" s="18">
        <v>432</v>
      </c>
      <c r="S106" s="19">
        <v>406.38791816665207</v>
      </c>
      <c r="T106" s="19">
        <v>423.11778733866021</v>
      </c>
      <c r="U106" s="19">
        <v>449.28036224427086</v>
      </c>
      <c r="V106" s="19">
        <v>479.87754268153492</v>
      </c>
      <c r="W106" s="19">
        <v>516.95949867415936</v>
      </c>
      <c r="X106" s="19">
        <v>545.78395237509892</v>
      </c>
      <c r="Z106" s="17">
        <f t="shared" si="31"/>
        <v>-5.9287226466083198E-2</v>
      </c>
      <c r="AA106" s="17">
        <f t="shared" si="31"/>
        <v>4.1167240521032156E-2</v>
      </c>
      <c r="AB106" s="17">
        <f t="shared" si="31"/>
        <v>6.1832841087038348E-2</v>
      </c>
      <c r="AC106" s="17">
        <f t="shared" si="31"/>
        <v>6.8102643713211286E-2</v>
      </c>
      <c r="AD106" s="17">
        <f t="shared" si="31"/>
        <v>7.7273789028367679E-2</v>
      </c>
      <c r="AE106" s="17">
        <f t="shared" si="31"/>
        <v>5.5757663366018617E-2</v>
      </c>
      <c r="AG106" s="18">
        <f t="shared" si="29"/>
        <v>0</v>
      </c>
      <c r="AH106" s="19">
        <f t="shared" si="29"/>
        <v>3.6120818333479292</v>
      </c>
      <c r="AI106" s="19">
        <f t="shared" si="29"/>
        <v>-6.3539870945465395</v>
      </c>
      <c r="AJ106" s="19">
        <f t="shared" si="29"/>
        <v>-13.376869176471871</v>
      </c>
      <c r="AK106" s="19">
        <f t="shared" si="29"/>
        <v>-17.652152266646112</v>
      </c>
      <c r="AL106" s="19">
        <f t="shared" si="29"/>
        <v>-17.055176052963191</v>
      </c>
      <c r="AM106" s="19">
        <f t="shared" si="29"/>
        <v>-7.9169834030884658</v>
      </c>
      <c r="AO106" s="17">
        <f t="shared" si="30"/>
        <v>0</v>
      </c>
      <c r="AP106" s="17">
        <f t="shared" si="30"/>
        <v>8.8882608755771475E-3</v>
      </c>
      <c r="AQ106" s="17">
        <f t="shared" si="30"/>
        <v>-1.5017064478692888E-2</v>
      </c>
      <c r="AR106" s="17">
        <f t="shared" si="30"/>
        <v>-2.9773990364615477E-2</v>
      </c>
      <c r="AS106" s="17">
        <f t="shared" si="30"/>
        <v>-3.6784701713705181E-2</v>
      </c>
      <c r="AT106" s="17">
        <f t="shared" si="30"/>
        <v>-3.2991319623112525E-2</v>
      </c>
      <c r="AU106" s="17">
        <f t="shared" si="30"/>
        <v>-1.4505709390384203E-2</v>
      </c>
    </row>
    <row r="107" spans="2:47" x14ac:dyDescent="0.15">
      <c r="B107" s="20" t="s">
        <v>47</v>
      </c>
      <c r="C107" s="18">
        <v>630</v>
      </c>
      <c r="D107" s="19">
        <v>599</v>
      </c>
      <c r="E107" s="19">
        <v>612.5898571506018</v>
      </c>
      <c r="F107" s="19">
        <v>641.0815960994255</v>
      </c>
      <c r="G107" s="19">
        <v>674.24862419607246</v>
      </c>
      <c r="H107" s="19">
        <v>714.89425547755638</v>
      </c>
      <c r="I107" s="19">
        <v>752.70120800405971</v>
      </c>
      <c r="K107" s="17">
        <f t="shared" si="27"/>
        <v>-4.9206349206349254E-2</v>
      </c>
      <c r="L107" s="17">
        <f t="shared" si="27"/>
        <v>2.2687574541906175E-2</v>
      </c>
      <c r="M107" s="17">
        <f t="shared" si="27"/>
        <v>4.65103014949515E-2</v>
      </c>
      <c r="N107" s="17">
        <f t="shared" si="27"/>
        <v>5.17360477955493E-2</v>
      </c>
      <c r="O107" s="17">
        <f t="shared" si="27"/>
        <v>6.0282853865585517E-2</v>
      </c>
      <c r="P107" s="17">
        <f t="shared" si="27"/>
        <v>5.2884678030106658E-2</v>
      </c>
      <c r="Q107" s="98"/>
      <c r="R107" s="18">
        <v>630</v>
      </c>
      <c r="S107" s="19">
        <v>604.01190700301197</v>
      </c>
      <c r="T107" s="19">
        <v>620.30234963290638</v>
      </c>
      <c r="U107" s="19">
        <v>653.23143034520865</v>
      </c>
      <c r="V107" s="19">
        <v>686.53507192329823</v>
      </c>
      <c r="W107" s="19">
        <v>725.08216397684134</v>
      </c>
      <c r="X107" s="19">
        <v>758.29003321129039</v>
      </c>
      <c r="Z107" s="17">
        <f t="shared" si="31"/>
        <v>-4.1250941265060348E-2</v>
      </c>
      <c r="AA107" s="17">
        <f t="shared" si="31"/>
        <v>2.6970399823282198E-2</v>
      </c>
      <c r="AB107" s="17">
        <f t="shared" si="31"/>
        <v>5.3085532775733579E-2</v>
      </c>
      <c r="AC107" s="17">
        <f t="shared" si="31"/>
        <v>5.0982913606116398E-2</v>
      </c>
      <c r="AD107" s="17">
        <f t="shared" si="31"/>
        <v>5.614730205341889E-2</v>
      </c>
      <c r="AE107" s="17">
        <f t="shared" si="31"/>
        <v>4.5798767207725355E-2</v>
      </c>
      <c r="AG107" s="18">
        <f t="shared" si="29"/>
        <v>0</v>
      </c>
      <c r="AH107" s="19">
        <f t="shared" si="29"/>
        <v>-5.0119070030119701</v>
      </c>
      <c r="AI107" s="19">
        <f t="shared" si="29"/>
        <v>-7.7124924823045831</v>
      </c>
      <c r="AJ107" s="19">
        <f t="shared" si="29"/>
        <v>-12.149834245783154</v>
      </c>
      <c r="AK107" s="19">
        <f t="shared" si="29"/>
        <v>-12.286447727225777</v>
      </c>
      <c r="AL107" s="19">
        <f t="shared" si="29"/>
        <v>-10.187908499284958</v>
      </c>
      <c r="AM107" s="19">
        <f t="shared" si="29"/>
        <v>-5.5888252072306841</v>
      </c>
      <c r="AO107" s="17">
        <f t="shared" si="30"/>
        <v>0</v>
      </c>
      <c r="AP107" s="17">
        <f t="shared" si="30"/>
        <v>-8.2976956992123485E-3</v>
      </c>
      <c r="AQ107" s="17">
        <f t="shared" si="30"/>
        <v>-1.243344070334218E-2</v>
      </c>
      <c r="AR107" s="17">
        <f t="shared" si="30"/>
        <v>-1.859958612120427E-2</v>
      </c>
      <c r="AS107" s="17">
        <f t="shared" si="30"/>
        <v>-1.7896314740055153E-2</v>
      </c>
      <c r="AT107" s="17">
        <f t="shared" si="30"/>
        <v>-1.4050695225224619E-2</v>
      </c>
      <c r="AU107" s="17">
        <f t="shared" si="30"/>
        <v>-7.3703002313805221E-3</v>
      </c>
    </row>
    <row r="108" spans="2:47" x14ac:dyDescent="0.15">
      <c r="B108" s="20" t="s">
        <v>48</v>
      </c>
      <c r="C108" s="18">
        <v>426</v>
      </c>
      <c r="D108" s="19">
        <v>384</v>
      </c>
      <c r="E108" s="19">
        <v>389.38833496223396</v>
      </c>
      <c r="F108" s="19">
        <v>407.14366748281185</v>
      </c>
      <c r="G108" s="19">
        <v>424.48099186604225</v>
      </c>
      <c r="H108" s="19">
        <v>446.14841666563103</v>
      </c>
      <c r="I108" s="19">
        <v>469.20773500403936</v>
      </c>
      <c r="K108" s="17">
        <f t="shared" si="27"/>
        <v>-9.8591549295774628E-2</v>
      </c>
      <c r="L108" s="17">
        <f t="shared" si="27"/>
        <v>1.4032122297484184E-2</v>
      </c>
      <c r="M108" s="17">
        <f t="shared" si="27"/>
        <v>4.5598008277006885E-2</v>
      </c>
      <c r="N108" s="17">
        <f t="shared" si="27"/>
        <v>4.2582817240949256E-2</v>
      </c>
      <c r="O108" s="17">
        <f t="shared" si="27"/>
        <v>5.104451133215071E-2</v>
      </c>
      <c r="P108" s="17">
        <f t="shared" si="27"/>
        <v>5.1685308020918752E-2</v>
      </c>
      <c r="Q108" s="98"/>
      <c r="R108" s="18">
        <v>426</v>
      </c>
      <c r="S108" s="19">
        <v>365.16128705277248</v>
      </c>
      <c r="T108" s="19">
        <v>371.09705597581694</v>
      </c>
      <c r="U108" s="19">
        <v>391.01051160335669</v>
      </c>
      <c r="V108" s="19">
        <v>411.42626488394262</v>
      </c>
      <c r="W108" s="19">
        <v>431.54959726106512</v>
      </c>
      <c r="X108" s="19">
        <v>450.97867864969248</v>
      </c>
      <c r="Z108" s="17">
        <f t="shared" si="31"/>
        <v>-0.14281388015781105</v>
      </c>
      <c r="AA108" s="17">
        <f t="shared" si="31"/>
        <v>1.6255197726331438E-2</v>
      </c>
      <c r="AB108" s="17">
        <f t="shared" si="31"/>
        <v>5.3661044481143616E-2</v>
      </c>
      <c r="AC108" s="17">
        <f t="shared" si="31"/>
        <v>5.2212799080183725E-2</v>
      </c>
      <c r="AD108" s="17">
        <f t="shared" si="31"/>
        <v>4.8911151510463213E-2</v>
      </c>
      <c r="AE108" s="17">
        <f t="shared" si="31"/>
        <v>4.5021664976491182E-2</v>
      </c>
      <c r="AG108" s="18">
        <f t="shared" si="29"/>
        <v>0</v>
      </c>
      <c r="AH108" s="19">
        <f t="shared" si="29"/>
        <v>18.838712947227521</v>
      </c>
      <c r="AI108" s="19">
        <f t="shared" si="29"/>
        <v>18.291278986417012</v>
      </c>
      <c r="AJ108" s="19">
        <f t="shared" si="29"/>
        <v>16.13315587945516</v>
      </c>
      <c r="AK108" s="19">
        <f t="shared" si="29"/>
        <v>13.054726982099623</v>
      </c>
      <c r="AL108" s="19">
        <f t="shared" si="29"/>
        <v>14.598819404565916</v>
      </c>
      <c r="AM108" s="19">
        <f t="shared" si="29"/>
        <v>18.229056354346881</v>
      </c>
      <c r="AO108" s="17">
        <f t="shared" si="30"/>
        <v>0</v>
      </c>
      <c r="AP108" s="17">
        <f t="shared" si="30"/>
        <v>5.1590115423448379E-2</v>
      </c>
      <c r="AQ108" s="17">
        <f t="shared" si="30"/>
        <v>4.9289744264662039E-2</v>
      </c>
      <c r="AR108" s="17">
        <f t="shared" si="30"/>
        <v>4.1260159000074959E-2</v>
      </c>
      <c r="AS108" s="17">
        <f t="shared" si="30"/>
        <v>3.1730417079187223E-2</v>
      </c>
      <c r="AT108" s="17">
        <f t="shared" si="30"/>
        <v>3.3828833342032683E-2</v>
      </c>
      <c r="AU108" s="17">
        <f t="shared" si="30"/>
        <v>4.0421104627224924E-2</v>
      </c>
    </row>
    <row r="109" spans="2:47" x14ac:dyDescent="0.15">
      <c r="B109" s="20" t="s">
        <v>49</v>
      </c>
      <c r="C109" s="18">
        <v>412</v>
      </c>
      <c r="D109" s="19">
        <v>404</v>
      </c>
      <c r="E109" s="19">
        <v>415.08354410950625</v>
      </c>
      <c r="F109" s="19">
        <v>438.14975419203859</v>
      </c>
      <c r="G109" s="19">
        <v>460.82303140128829</v>
      </c>
      <c r="H109" s="19">
        <v>488.27779911177089</v>
      </c>
      <c r="I109" s="19">
        <v>515.98240846283647</v>
      </c>
      <c r="K109" s="17">
        <f t="shared" si="27"/>
        <v>-1.9417475728155331E-2</v>
      </c>
      <c r="L109" s="17">
        <f t="shared" si="27"/>
        <v>2.7434515122540137E-2</v>
      </c>
      <c r="M109" s="17">
        <f t="shared" si="27"/>
        <v>5.5570042247801155E-2</v>
      </c>
      <c r="N109" s="17">
        <f t="shared" si="27"/>
        <v>5.1747780279050692E-2</v>
      </c>
      <c r="O109" s="17">
        <f t="shared" si="27"/>
        <v>5.9577681321606457E-2</v>
      </c>
      <c r="P109" s="17">
        <f t="shared" si="27"/>
        <v>5.6739440952390696E-2</v>
      </c>
      <c r="Q109" s="98"/>
      <c r="R109" s="18">
        <v>412</v>
      </c>
      <c r="S109" s="19">
        <v>389.31320676638842</v>
      </c>
      <c r="T109" s="19">
        <v>400.68148281440494</v>
      </c>
      <c r="U109" s="19">
        <v>426.30351318695489</v>
      </c>
      <c r="V109" s="19">
        <v>450.53316259964362</v>
      </c>
      <c r="W109" s="19">
        <v>476.44202256752322</v>
      </c>
      <c r="X109" s="19">
        <v>502.07667618751765</v>
      </c>
      <c r="Z109" s="17">
        <f t="shared" si="31"/>
        <v>-5.5065032120416468E-2</v>
      </c>
      <c r="AA109" s="17">
        <f t="shared" si="31"/>
        <v>2.9200848700820403E-2</v>
      </c>
      <c r="AB109" s="17">
        <f t="shared" si="31"/>
        <v>6.3946130458986117E-2</v>
      </c>
      <c r="AC109" s="17">
        <f t="shared" si="31"/>
        <v>5.6836616784020855E-2</v>
      </c>
      <c r="AD109" s="17">
        <f t="shared" si="31"/>
        <v>5.7507109617373375E-2</v>
      </c>
      <c r="AE109" s="17">
        <f t="shared" si="31"/>
        <v>5.3804350594119477E-2</v>
      </c>
      <c r="AG109" s="18">
        <f t="shared" si="29"/>
        <v>0</v>
      </c>
      <c r="AH109" s="19">
        <f t="shared" si="29"/>
        <v>14.686793233611581</v>
      </c>
      <c r="AI109" s="19">
        <f t="shared" si="29"/>
        <v>14.402061295101305</v>
      </c>
      <c r="AJ109" s="19">
        <f t="shared" si="29"/>
        <v>11.846241005083698</v>
      </c>
      <c r="AK109" s="19">
        <f t="shared" si="29"/>
        <v>10.289868801644673</v>
      </c>
      <c r="AL109" s="19">
        <f t="shared" si="29"/>
        <v>11.835776544247665</v>
      </c>
      <c r="AM109" s="19">
        <f t="shared" si="29"/>
        <v>13.905732275318826</v>
      </c>
      <c r="AO109" s="17">
        <f t="shared" si="30"/>
        <v>0</v>
      </c>
      <c r="AP109" s="17">
        <f t="shared" si="30"/>
        <v>3.772487801171498E-2</v>
      </c>
      <c r="AQ109" s="17">
        <f t="shared" si="30"/>
        <v>3.5943915336293042E-2</v>
      </c>
      <c r="AR109" s="17">
        <f t="shared" si="30"/>
        <v>2.778827909843784E-2</v>
      </c>
      <c r="AS109" s="17">
        <f t="shared" si="30"/>
        <v>2.2839314962455948E-2</v>
      </c>
      <c r="AT109" s="17">
        <f t="shared" si="30"/>
        <v>2.4842008016978001E-2</v>
      </c>
      <c r="AU109" s="17">
        <f t="shared" si="30"/>
        <v>2.7696431511041286E-2</v>
      </c>
    </row>
    <row r="110" spans="2:47" x14ac:dyDescent="0.15">
      <c r="B110" s="20" t="s">
        <v>50</v>
      </c>
      <c r="C110" s="18">
        <v>178</v>
      </c>
      <c r="D110" s="19">
        <v>187</v>
      </c>
      <c r="E110" s="19">
        <v>192.51571587988636</v>
      </c>
      <c r="F110" s="19">
        <v>199.64467668740699</v>
      </c>
      <c r="G110" s="19">
        <v>206.42082713952385</v>
      </c>
      <c r="H110" s="19">
        <v>213.45012631854451</v>
      </c>
      <c r="I110" s="19">
        <v>221.71637382876665</v>
      </c>
      <c r="K110" s="17">
        <f t="shared" si="27"/>
        <v>5.0561797752809001E-2</v>
      </c>
      <c r="L110" s="17">
        <f t="shared" si="27"/>
        <v>2.9495806844312078E-2</v>
      </c>
      <c r="M110" s="17">
        <f t="shared" si="27"/>
        <v>3.7030539428627662E-2</v>
      </c>
      <c r="N110" s="17">
        <f t="shared" si="27"/>
        <v>3.3941052496614388E-2</v>
      </c>
      <c r="O110" s="17">
        <f t="shared" si="27"/>
        <v>3.4053245868787441E-2</v>
      </c>
      <c r="P110" s="17">
        <f t="shared" si="27"/>
        <v>3.8726833536214089E-2</v>
      </c>
      <c r="Q110" s="98"/>
      <c r="R110" s="18">
        <v>178</v>
      </c>
      <c r="S110" s="19">
        <v>188.90305434937355</v>
      </c>
      <c r="T110" s="19">
        <v>193.69341773740035</v>
      </c>
      <c r="U110" s="19">
        <v>200.31186245124749</v>
      </c>
      <c r="V110" s="19">
        <v>207.55291984568552</v>
      </c>
      <c r="W110" s="19">
        <v>213.67782647977123</v>
      </c>
      <c r="X110" s="19">
        <v>220.50010936543578</v>
      </c>
      <c r="Z110" s="17">
        <f t="shared" si="31"/>
        <v>6.1253114322323388E-2</v>
      </c>
      <c r="AA110" s="17">
        <f t="shared" si="31"/>
        <v>2.5358845596890722E-2</v>
      </c>
      <c r="AB110" s="17">
        <f t="shared" si="31"/>
        <v>3.4169693483441455E-2</v>
      </c>
      <c r="AC110" s="17">
        <f t="shared" si="31"/>
        <v>3.6148919518934619E-2</v>
      </c>
      <c r="AD110" s="17">
        <f t="shared" si="31"/>
        <v>2.9510096213724912E-2</v>
      </c>
      <c r="AE110" s="17">
        <f t="shared" si="31"/>
        <v>3.1927893493012505E-2</v>
      </c>
      <c r="AG110" s="18">
        <f t="shared" si="29"/>
        <v>0</v>
      </c>
      <c r="AH110" s="19">
        <f t="shared" si="29"/>
        <v>-1.9030543493735479</v>
      </c>
      <c r="AI110" s="19">
        <f t="shared" si="29"/>
        <v>-1.1777018575139948</v>
      </c>
      <c r="AJ110" s="19">
        <f t="shared" si="29"/>
        <v>-0.66718576384050721</v>
      </c>
      <c r="AK110" s="19">
        <f t="shared" si="29"/>
        <v>-1.1320927061616715</v>
      </c>
      <c r="AL110" s="19">
        <f t="shared" si="29"/>
        <v>-0.22770016122672132</v>
      </c>
      <c r="AM110" s="19">
        <f t="shared" si="29"/>
        <v>1.216264463330873</v>
      </c>
      <c r="AO110" s="17">
        <f t="shared" si="30"/>
        <v>0</v>
      </c>
      <c r="AP110" s="17">
        <f t="shared" si="30"/>
        <v>-1.0074238110802991E-2</v>
      </c>
      <c r="AQ110" s="17">
        <f t="shared" si="30"/>
        <v>-6.0802368571484244E-3</v>
      </c>
      <c r="AR110" s="17">
        <f t="shared" si="30"/>
        <v>-3.3307351630404991E-3</v>
      </c>
      <c r="AS110" s="17">
        <f t="shared" si="30"/>
        <v>-5.4544773786048273E-3</v>
      </c>
      <c r="AT110" s="17">
        <f t="shared" si="30"/>
        <v>-1.0656237241737365E-3</v>
      </c>
      <c r="AU110" s="17">
        <f t="shared" si="30"/>
        <v>5.5159358733702923E-3</v>
      </c>
    </row>
    <row r="111" spans="2:47" x14ac:dyDescent="0.15">
      <c r="B111" s="20" t="s">
        <v>51</v>
      </c>
      <c r="C111" s="18">
        <v>188</v>
      </c>
      <c r="D111" s="19">
        <v>150</v>
      </c>
      <c r="E111" s="19">
        <v>154.70626908868451</v>
      </c>
      <c r="F111" s="19">
        <v>171.32037446952469</v>
      </c>
      <c r="G111" s="19">
        <v>185.4788796333799</v>
      </c>
      <c r="H111" s="19">
        <v>201.87382022597271</v>
      </c>
      <c r="I111" s="19">
        <v>220.22562881087393</v>
      </c>
      <c r="K111" s="17">
        <f t="shared" si="27"/>
        <v>-0.2021276595744681</v>
      </c>
      <c r="L111" s="17">
        <f t="shared" si="27"/>
        <v>3.1375127257896818E-2</v>
      </c>
      <c r="M111" s="17">
        <f t="shared" si="27"/>
        <v>0.10739128723553049</v>
      </c>
      <c r="N111" s="17">
        <f t="shared" si="27"/>
        <v>8.2643440441310778E-2</v>
      </c>
      <c r="O111" s="17">
        <f t="shared" si="27"/>
        <v>8.8392493123741422E-2</v>
      </c>
      <c r="P111" s="17">
        <f t="shared" si="27"/>
        <v>9.0907323021670816E-2</v>
      </c>
      <c r="Q111" s="98"/>
      <c r="R111" s="18">
        <v>188</v>
      </c>
      <c r="S111" s="19">
        <v>159.26389496801983</v>
      </c>
      <c r="T111" s="19">
        <v>168.6632310944542</v>
      </c>
      <c r="U111" s="19">
        <v>184.94691162499888</v>
      </c>
      <c r="V111" s="19">
        <v>201.99482544197411</v>
      </c>
      <c r="W111" s="19">
        <v>219.99621683451446</v>
      </c>
      <c r="X111" s="19">
        <v>238.62575564113956</v>
      </c>
      <c r="Z111" s="17">
        <f t="shared" si="31"/>
        <v>-0.15285162251053286</v>
      </c>
      <c r="AA111" s="17">
        <f t="shared" si="31"/>
        <v>5.9017369431544786E-2</v>
      </c>
      <c r="AB111" s="17">
        <f t="shared" si="31"/>
        <v>9.6545526994117337E-2</v>
      </c>
      <c r="AC111" s="17">
        <f t="shared" si="31"/>
        <v>9.2177337091964295E-2</v>
      </c>
      <c r="AD111" s="17">
        <f t="shared" si="31"/>
        <v>8.9118081877357369E-2</v>
      </c>
      <c r="AE111" s="17">
        <f t="shared" si="31"/>
        <v>8.4681178043341632E-2</v>
      </c>
      <c r="AG111" s="18">
        <f t="shared" si="29"/>
        <v>0</v>
      </c>
      <c r="AH111" s="19">
        <f t="shared" si="29"/>
        <v>-9.2638949680198266</v>
      </c>
      <c r="AI111" s="19">
        <f t="shared" si="29"/>
        <v>-13.956962005769697</v>
      </c>
      <c r="AJ111" s="19">
        <f t="shared" si="29"/>
        <v>-13.626537155474182</v>
      </c>
      <c r="AK111" s="19">
        <f t="shared" si="29"/>
        <v>-16.515945808594211</v>
      </c>
      <c r="AL111" s="19">
        <f t="shared" si="29"/>
        <v>-18.122396608541749</v>
      </c>
      <c r="AM111" s="19">
        <f t="shared" si="29"/>
        <v>-18.400126830265634</v>
      </c>
      <c r="AO111" s="17">
        <f t="shared" si="30"/>
        <v>0</v>
      </c>
      <c r="AP111" s="17">
        <f t="shared" si="30"/>
        <v>-5.8166949702442072E-2</v>
      </c>
      <c r="AQ111" s="17">
        <f t="shared" si="30"/>
        <v>-8.275047214027087E-2</v>
      </c>
      <c r="AR111" s="17">
        <f t="shared" si="30"/>
        <v>-7.3678100573550287E-2</v>
      </c>
      <c r="AS111" s="17">
        <f t="shared" si="30"/>
        <v>-8.1764202486160453E-2</v>
      </c>
      <c r="AT111" s="17">
        <f t="shared" si="30"/>
        <v>-8.2375946592635141E-2</v>
      </c>
      <c r="AU111" s="17">
        <f t="shared" si="30"/>
        <v>-7.7108721063357866E-2</v>
      </c>
    </row>
    <row r="112" spans="2:47" x14ac:dyDescent="0.15">
      <c r="B112" s="20" t="s">
        <v>52</v>
      </c>
      <c r="C112" s="18">
        <v>185</v>
      </c>
      <c r="D112" s="19">
        <v>147</v>
      </c>
      <c r="E112" s="19">
        <v>152.48171472996029</v>
      </c>
      <c r="F112" s="19">
        <v>157.41893956390842</v>
      </c>
      <c r="G112" s="19">
        <v>162.79933422729144</v>
      </c>
      <c r="H112" s="19">
        <v>169.79376249836943</v>
      </c>
      <c r="I112" s="19">
        <v>177.44031905723693</v>
      </c>
      <c r="K112" s="17">
        <f t="shared" si="27"/>
        <v>-0.20540540540540542</v>
      </c>
      <c r="L112" s="17">
        <f t="shared" si="27"/>
        <v>3.7290576394287678E-2</v>
      </c>
      <c r="M112" s="17">
        <f t="shared" si="27"/>
        <v>3.2379127180539591E-2</v>
      </c>
      <c r="N112" s="17">
        <f t="shared" si="27"/>
        <v>3.417882675545969E-2</v>
      </c>
      <c r="O112" s="17">
        <f t="shared" si="27"/>
        <v>4.2963494318181583E-2</v>
      </c>
      <c r="P112" s="17">
        <f t="shared" si="27"/>
        <v>4.503437845039171E-2</v>
      </c>
      <c r="Q112" s="98"/>
      <c r="R112" s="18">
        <v>185</v>
      </c>
      <c r="S112" s="19">
        <v>173.7320021881838</v>
      </c>
      <c r="T112" s="19">
        <v>178.96386072641943</v>
      </c>
      <c r="U112" s="19">
        <v>186.52574673629502</v>
      </c>
      <c r="V112" s="19">
        <v>193.40831824711356</v>
      </c>
      <c r="W112" s="19">
        <v>201.11216226948486</v>
      </c>
      <c r="X112" s="19">
        <v>208.78486426300088</v>
      </c>
      <c r="Z112" s="17">
        <f t="shared" si="31"/>
        <v>-6.0908096280087531E-2</v>
      </c>
      <c r="AA112" s="17">
        <f t="shared" si="31"/>
        <v>3.0114535447352653E-2</v>
      </c>
      <c r="AB112" s="17">
        <f t="shared" si="31"/>
        <v>4.2253704067299891E-2</v>
      </c>
      <c r="AC112" s="17">
        <f t="shared" si="31"/>
        <v>3.6898774733489903E-2</v>
      </c>
      <c r="AD112" s="17">
        <f t="shared" si="31"/>
        <v>3.9832020112642086E-2</v>
      </c>
      <c r="AE112" s="17">
        <f t="shared" si="31"/>
        <v>3.815135746606324E-2</v>
      </c>
      <c r="AG112" s="18">
        <f t="shared" si="29"/>
        <v>0</v>
      </c>
      <c r="AH112" s="19">
        <f t="shared" si="29"/>
        <v>-26.732002188183799</v>
      </c>
      <c r="AI112" s="19">
        <f t="shared" si="29"/>
        <v>-26.482145996459138</v>
      </c>
      <c r="AJ112" s="19">
        <f t="shared" si="29"/>
        <v>-29.106807172386596</v>
      </c>
      <c r="AK112" s="19">
        <f t="shared" si="29"/>
        <v>-30.608984019822117</v>
      </c>
      <c r="AL112" s="19">
        <f t="shared" si="29"/>
        <v>-31.318399771115423</v>
      </c>
      <c r="AM112" s="19">
        <f t="shared" si="29"/>
        <v>-31.34454520576395</v>
      </c>
      <c r="AO112" s="17">
        <f t="shared" si="30"/>
        <v>0</v>
      </c>
      <c r="AP112" s="17">
        <f t="shared" si="30"/>
        <v>-0.15386918847126452</v>
      </c>
      <c r="AQ112" s="17">
        <f t="shared" si="30"/>
        <v>-0.14797482513490345</v>
      </c>
      <c r="AR112" s="17">
        <f t="shared" si="30"/>
        <v>-0.15604712851538405</v>
      </c>
      <c r="AS112" s="17">
        <f t="shared" si="30"/>
        <v>-0.15826094915273337</v>
      </c>
      <c r="AT112" s="17">
        <f t="shared" si="30"/>
        <v>-0.15572603574889521</v>
      </c>
      <c r="AU112" s="17">
        <f t="shared" si="30"/>
        <v>-0.15012843635197637</v>
      </c>
    </row>
    <row r="113" spans="2:47" x14ac:dyDescent="0.15">
      <c r="B113" s="20" t="s">
        <v>53</v>
      </c>
      <c r="C113" s="18">
        <v>72.516044867345769</v>
      </c>
      <c r="D113" s="19">
        <v>65.668702489333342</v>
      </c>
      <c r="E113" s="19">
        <v>52.727781633070784</v>
      </c>
      <c r="F113" s="19">
        <v>61.628671903342514</v>
      </c>
      <c r="G113" s="19">
        <v>73.014450108293119</v>
      </c>
      <c r="H113" s="19">
        <v>78.17814586269435</v>
      </c>
      <c r="I113" s="19">
        <v>83.412993331314766</v>
      </c>
      <c r="K113" s="17">
        <f t="shared" si="27"/>
        <v>-9.4425204663855178E-2</v>
      </c>
      <c r="L113" s="17">
        <f t="shared" si="27"/>
        <v>-0.19706375131082532</v>
      </c>
      <c r="M113" s="17">
        <f t="shared" si="27"/>
        <v>0.16880835860329668</v>
      </c>
      <c r="N113" s="17">
        <f t="shared" si="27"/>
        <v>0.18474807022951723</v>
      </c>
      <c r="O113" s="17">
        <f t="shared" si="27"/>
        <v>7.0721559180991989E-2</v>
      </c>
      <c r="P113" s="17">
        <f t="shared" si="27"/>
        <v>6.6960496579369755E-2</v>
      </c>
      <c r="Q113" s="98"/>
      <c r="R113" s="18">
        <v>72.516044867345769</v>
      </c>
      <c r="S113" s="19">
        <v>67.926625637540738</v>
      </c>
      <c r="T113" s="19">
        <v>70.86564372911208</v>
      </c>
      <c r="U113" s="19">
        <v>75.289396807296342</v>
      </c>
      <c r="V113" s="19">
        <v>80.089349962368516</v>
      </c>
      <c r="W113" s="19">
        <v>85.529031844060484</v>
      </c>
      <c r="X113" s="19">
        <v>90.826632798019304</v>
      </c>
      <c r="Z113" s="17">
        <f t="shared" si="31"/>
        <v>-6.3288327958322843E-2</v>
      </c>
      <c r="AA113" s="17">
        <f t="shared" si="31"/>
        <v>4.3267541468261062E-2</v>
      </c>
      <c r="AB113" s="17">
        <f t="shared" si="31"/>
        <v>6.2424509895010694E-2</v>
      </c>
      <c r="AC113" s="17">
        <f t="shared" si="31"/>
        <v>6.3753375091550879E-2</v>
      </c>
      <c r="AD113" s="17">
        <f t="shared" si="31"/>
        <v>6.7920165218570361E-2</v>
      </c>
      <c r="AE113" s="17">
        <f t="shared" si="31"/>
        <v>6.1939213384498482E-2</v>
      </c>
      <c r="AG113" s="18">
        <f t="shared" si="29"/>
        <v>0</v>
      </c>
      <c r="AH113" s="19">
        <f t="shared" si="29"/>
        <v>-2.2579231482073965</v>
      </c>
      <c r="AI113" s="19">
        <f t="shared" si="29"/>
        <v>-18.137862096041296</v>
      </c>
      <c r="AJ113" s="19">
        <f t="shared" si="29"/>
        <v>-13.660724903953827</v>
      </c>
      <c r="AK113" s="19">
        <f t="shared" si="29"/>
        <v>-7.0748998540753973</v>
      </c>
      <c r="AL113" s="19">
        <f t="shared" si="29"/>
        <v>-7.3508859813661331</v>
      </c>
      <c r="AM113" s="19">
        <f t="shared" si="29"/>
        <v>-7.413639466704538</v>
      </c>
      <c r="AO113" s="17">
        <f t="shared" si="30"/>
        <v>0</v>
      </c>
      <c r="AP113" s="17">
        <f t="shared" si="30"/>
        <v>-3.3240619963308182E-2</v>
      </c>
      <c r="AQ113" s="17">
        <f t="shared" si="30"/>
        <v>-0.25594718599289523</v>
      </c>
      <c r="AR113" s="17">
        <f t="shared" si="30"/>
        <v>-0.18144287885475474</v>
      </c>
      <c r="AS113" s="17">
        <f t="shared" si="30"/>
        <v>-8.8337586175935678E-2</v>
      </c>
      <c r="AT113" s="17">
        <f t="shared" si="30"/>
        <v>-8.5946091319828444E-2</v>
      </c>
      <c r="AU113" s="17">
        <f t="shared" si="30"/>
        <v>-8.16240703670148E-2</v>
      </c>
    </row>
    <row r="114" spans="2:47" x14ac:dyDescent="0.15">
      <c r="B114" s="20" t="s">
        <v>19</v>
      </c>
      <c r="C114" s="18">
        <v>1726.3045157088027</v>
      </c>
      <c r="D114" s="19">
        <v>1379.8341831260868</v>
      </c>
      <c r="E114" s="19">
        <v>1415.2925603683377</v>
      </c>
      <c r="F114" s="19">
        <v>1495.4038110188196</v>
      </c>
      <c r="G114" s="19">
        <v>1582.4134575469993</v>
      </c>
      <c r="H114" s="19">
        <v>1657.7180215712456</v>
      </c>
      <c r="I114" s="19">
        <v>1729.7717874531904</v>
      </c>
      <c r="K114" s="17">
        <f t="shared" si="27"/>
        <v>-0.20070058870260132</v>
      </c>
      <c r="L114" s="17">
        <f t="shared" si="27"/>
        <v>2.5697564008682505E-2</v>
      </c>
      <c r="M114" s="17">
        <f t="shared" si="27"/>
        <v>5.6604021595105802E-2</v>
      </c>
      <c r="N114" s="17">
        <f t="shared" si="27"/>
        <v>5.8184716320135665E-2</v>
      </c>
      <c r="O114" s="17">
        <f t="shared" si="27"/>
        <v>4.7588424924659423E-2</v>
      </c>
      <c r="P114" s="17">
        <f t="shared" si="27"/>
        <v>4.3465634652176677E-2</v>
      </c>
      <c r="Q114" s="98"/>
      <c r="R114" s="18">
        <v>1726.3045157088027</v>
      </c>
      <c r="S114" s="19">
        <v>1349.2346383222193</v>
      </c>
      <c r="T114" s="19">
        <v>1391.5034875677943</v>
      </c>
      <c r="U114" s="19">
        <v>1467.6270010792671</v>
      </c>
      <c r="V114" s="19">
        <v>1562.9541304581426</v>
      </c>
      <c r="W114" s="19">
        <v>1650.1526600596947</v>
      </c>
      <c r="X114" s="19">
        <v>1723.1199683058062</v>
      </c>
      <c r="Z114" s="17">
        <f t="shared" si="31"/>
        <v>-0.21842605053475306</v>
      </c>
      <c r="AA114" s="17">
        <f t="shared" si="31"/>
        <v>3.1328019637960391E-2</v>
      </c>
      <c r="AB114" s="17">
        <f t="shared" si="31"/>
        <v>5.4705945182019544E-2</v>
      </c>
      <c r="AC114" s="17">
        <f t="shared" si="31"/>
        <v>6.4953240372910503E-2</v>
      </c>
      <c r="AD114" s="17">
        <f t="shared" si="31"/>
        <v>5.5790843699291326E-2</v>
      </c>
      <c r="AE114" s="17">
        <f t="shared" si="31"/>
        <v>4.4218519905589782E-2</v>
      </c>
      <c r="AG114" s="18">
        <f t="shared" si="29"/>
        <v>0</v>
      </c>
      <c r="AH114" s="19">
        <f t="shared" si="29"/>
        <v>30.599544803867502</v>
      </c>
      <c r="AI114" s="19">
        <f t="shared" si="29"/>
        <v>23.789072800543408</v>
      </c>
      <c r="AJ114" s="19">
        <f t="shared" si="29"/>
        <v>27.77680993955255</v>
      </c>
      <c r="AK114" s="19">
        <f t="shared" si="29"/>
        <v>19.459327088856753</v>
      </c>
      <c r="AL114" s="19">
        <f t="shared" si="29"/>
        <v>7.5653615115509183</v>
      </c>
      <c r="AM114" s="19">
        <f t="shared" si="29"/>
        <v>6.6518191473842307</v>
      </c>
      <c r="AO114" s="17">
        <f t="shared" si="30"/>
        <v>0</v>
      </c>
      <c r="AP114" s="17">
        <f t="shared" si="30"/>
        <v>2.2679187099671649E-2</v>
      </c>
      <c r="AQ114" s="17">
        <f t="shared" si="30"/>
        <v>1.7095949103314245E-2</v>
      </c>
      <c r="AR114" s="17">
        <f t="shared" si="30"/>
        <v>1.8926341583471729E-2</v>
      </c>
      <c r="AS114" s="17">
        <f t="shared" si="30"/>
        <v>1.245035072344236E-2</v>
      </c>
      <c r="AT114" s="17">
        <f t="shared" si="30"/>
        <v>4.5846434058272045E-3</v>
      </c>
      <c r="AU114" s="17">
        <f t="shared" si="30"/>
        <v>3.8603343178271743E-3</v>
      </c>
    </row>
    <row r="115" spans="2:47" x14ac:dyDescent="0.15">
      <c r="B115" s="20" t="s">
        <v>18</v>
      </c>
      <c r="C115" s="18">
        <v>7826.1018177054639</v>
      </c>
      <c r="D115" s="19">
        <v>8411.2546996478395</v>
      </c>
      <c r="E115" s="19">
        <v>8650.7700825688553</v>
      </c>
      <c r="F115" s="19">
        <v>8849.4537988818902</v>
      </c>
      <c r="G115" s="19">
        <v>9077.6177267501771</v>
      </c>
      <c r="H115" s="19">
        <v>9334.4298943603771</v>
      </c>
      <c r="I115" s="19">
        <v>9531.7997285246984</v>
      </c>
      <c r="K115" s="17">
        <f t="shared" si="27"/>
        <v>7.4769392933088152E-2</v>
      </c>
      <c r="L115" s="17">
        <f t="shared" si="27"/>
        <v>2.8475583188682263E-2</v>
      </c>
      <c r="M115" s="17">
        <f t="shared" si="27"/>
        <v>2.2967171062999281E-2</v>
      </c>
      <c r="N115" s="17">
        <f t="shared" si="27"/>
        <v>2.5782826042564988E-2</v>
      </c>
      <c r="O115" s="17">
        <f t="shared" si="27"/>
        <v>2.8290700857937612E-2</v>
      </c>
      <c r="P115" s="17">
        <f t="shared" si="27"/>
        <v>2.1144283732160929E-2</v>
      </c>
      <c r="Q115" s="98"/>
      <c r="R115" s="18">
        <v>7826.1018177054639</v>
      </c>
      <c r="S115" s="19">
        <v>8192.2866692465686</v>
      </c>
      <c r="T115" s="19">
        <v>8382.2328641591012</v>
      </c>
      <c r="U115" s="19">
        <v>8602.0210068214255</v>
      </c>
      <c r="V115" s="19">
        <v>8855.8867205377628</v>
      </c>
      <c r="W115" s="19">
        <v>9087.0588394807637</v>
      </c>
      <c r="X115" s="19">
        <v>9343.6358637990925</v>
      </c>
      <c r="Z115" s="17">
        <f t="shared" si="31"/>
        <v>4.6790197734543071E-2</v>
      </c>
      <c r="AA115" s="17">
        <f t="shared" si="31"/>
        <v>2.3185980005506979E-2</v>
      </c>
      <c r="AB115" s="17">
        <f t="shared" si="31"/>
        <v>2.6220715437541564E-2</v>
      </c>
      <c r="AC115" s="17">
        <f t="shared" si="31"/>
        <v>2.9512333614974962E-2</v>
      </c>
      <c r="AD115" s="17">
        <f t="shared" si="31"/>
        <v>2.6103780032200152E-2</v>
      </c>
      <c r="AE115" s="17">
        <f t="shared" si="31"/>
        <v>2.8235431161023561E-2</v>
      </c>
      <c r="AG115" s="18">
        <f t="shared" si="29"/>
        <v>0</v>
      </c>
      <c r="AH115" s="19">
        <f t="shared" si="29"/>
        <v>218.96803040127088</v>
      </c>
      <c r="AI115" s="19">
        <f t="shared" si="29"/>
        <v>268.53721840975413</v>
      </c>
      <c r="AJ115" s="19">
        <f t="shared" si="29"/>
        <v>247.43279206046464</v>
      </c>
      <c r="AK115" s="19">
        <f t="shared" si="29"/>
        <v>221.73100621241429</v>
      </c>
      <c r="AL115" s="19">
        <f t="shared" si="29"/>
        <v>247.37105487961344</v>
      </c>
      <c r="AM115" s="19">
        <f t="shared" si="29"/>
        <v>188.16386472560589</v>
      </c>
      <c r="AO115" s="17">
        <f t="shared" si="30"/>
        <v>0</v>
      </c>
      <c r="AP115" s="17">
        <f t="shared" si="30"/>
        <v>2.6728560564569293E-2</v>
      </c>
      <c r="AQ115" s="17">
        <f t="shared" si="30"/>
        <v>3.2036477960182941E-2</v>
      </c>
      <c r="AR115" s="17">
        <f t="shared" si="30"/>
        <v>2.8764495211561325E-2</v>
      </c>
      <c r="AS115" s="17">
        <f t="shared" si="30"/>
        <v>2.503769675578571E-2</v>
      </c>
      <c r="AT115" s="17">
        <f t="shared" si="30"/>
        <v>2.7222345452948327E-2</v>
      </c>
      <c r="AU115" s="17">
        <f t="shared" si="30"/>
        <v>2.013818469260209E-2</v>
      </c>
    </row>
    <row r="116" spans="2:47" x14ac:dyDescent="0.15">
      <c r="B116" s="54" t="s">
        <v>54</v>
      </c>
      <c r="C116" s="18">
        <v>7215.1018177054639</v>
      </c>
      <c r="D116" s="53">
        <v>7705.2546996478395</v>
      </c>
      <c r="E116" s="53">
        <v>7932.5909871584827</v>
      </c>
      <c r="F116" s="53">
        <v>8118.8375514140234</v>
      </c>
      <c r="G116" s="53">
        <v>8324.0000456061407</v>
      </c>
      <c r="H116" s="53">
        <v>8568.0513326786786</v>
      </c>
      <c r="I116" s="53">
        <v>8744.8420327680124</v>
      </c>
      <c r="K116" s="17">
        <f t="shared" si="27"/>
        <v>6.7934298687174044E-2</v>
      </c>
      <c r="L116" s="17">
        <f t="shared" si="27"/>
        <v>2.9504058771870678E-2</v>
      </c>
      <c r="M116" s="17">
        <f t="shared" si="27"/>
        <v>2.3478654648530606E-2</v>
      </c>
      <c r="N116" s="17">
        <f t="shared" si="27"/>
        <v>2.5269934629543744E-2</v>
      </c>
      <c r="O116" s="17">
        <f t="shared" si="27"/>
        <v>2.9318991558795249E-2</v>
      </c>
      <c r="P116" s="17">
        <f t="shared" si="27"/>
        <v>2.0633711590294812E-2</v>
      </c>
      <c r="Q116" s="98"/>
      <c r="R116" s="18">
        <v>7215.1018177054639</v>
      </c>
      <c r="S116" s="53">
        <v>7545.0960223760903</v>
      </c>
      <c r="T116" s="53">
        <v>7716.6835747448686</v>
      </c>
      <c r="U116" s="53">
        <v>7913.8593262757122</v>
      </c>
      <c r="V116" s="53">
        <v>8138.5598961742044</v>
      </c>
      <c r="W116" s="53">
        <v>8360.0941323223033</v>
      </c>
      <c r="X116" s="53">
        <v>8600.8168126270648</v>
      </c>
      <c r="Z116" s="17">
        <f t="shared" si="31"/>
        <v>4.5736597072107754E-2</v>
      </c>
      <c r="AA116" s="17">
        <f t="shared" si="31"/>
        <v>2.2741599558164793E-2</v>
      </c>
      <c r="AB116" s="17">
        <f t="shared" si="31"/>
        <v>2.5551877256722033E-2</v>
      </c>
      <c r="AC116" s="17">
        <f t="shared" si="31"/>
        <v>2.8393298469741257E-2</v>
      </c>
      <c r="AD116" s="17">
        <f t="shared" si="31"/>
        <v>2.7220323862485518E-2</v>
      </c>
      <c r="AE116" s="17">
        <f t="shared" si="31"/>
        <v>2.879425476491515E-2</v>
      </c>
      <c r="AG116" s="18">
        <f t="shared" si="29"/>
        <v>0</v>
      </c>
      <c r="AH116" s="53">
        <f t="shared" si="29"/>
        <v>160.15867727174918</v>
      </c>
      <c r="AI116" s="53">
        <f t="shared" si="29"/>
        <v>215.90741241361411</v>
      </c>
      <c r="AJ116" s="53">
        <f t="shared" si="29"/>
        <v>204.97822513831125</v>
      </c>
      <c r="AK116" s="53">
        <f t="shared" si="29"/>
        <v>185.44014943193633</v>
      </c>
      <c r="AL116" s="53">
        <f t="shared" si="29"/>
        <v>207.95720035637532</v>
      </c>
      <c r="AM116" s="53">
        <f t="shared" si="29"/>
        <v>144.02522014094757</v>
      </c>
      <c r="AO116" s="17">
        <f t="shared" si="30"/>
        <v>0</v>
      </c>
      <c r="AP116" s="85">
        <f t="shared" si="30"/>
        <v>2.1226857391446696E-2</v>
      </c>
      <c r="AQ116" s="85">
        <f t="shared" si="30"/>
        <v>2.7979300994048106E-2</v>
      </c>
      <c r="AR116" s="85">
        <f t="shared" si="30"/>
        <v>2.5901171184296912E-2</v>
      </c>
      <c r="AS116" s="85">
        <f t="shared" si="30"/>
        <v>2.2785376257918655E-2</v>
      </c>
      <c r="AT116" s="85">
        <f t="shared" si="30"/>
        <v>2.4874983112015192E-2</v>
      </c>
      <c r="AU116" s="85">
        <f t="shared" si="30"/>
        <v>1.6745528160709178E-2</v>
      </c>
    </row>
    <row r="117" spans="2:47" x14ac:dyDescent="0.15">
      <c r="B117" s="54" t="s">
        <v>55</v>
      </c>
      <c r="C117" s="18">
        <v>611</v>
      </c>
      <c r="D117" s="53">
        <v>706</v>
      </c>
      <c r="E117" s="53">
        <v>718.17909541037261</v>
      </c>
      <c r="F117" s="53">
        <v>730.61624746786674</v>
      </c>
      <c r="G117" s="53">
        <v>753.6176811440364</v>
      </c>
      <c r="H117" s="53">
        <v>766.37856168169856</v>
      </c>
      <c r="I117" s="53">
        <v>786.95769575668601</v>
      </c>
      <c r="K117" s="17">
        <f t="shared" si="27"/>
        <v>0.15548281505728312</v>
      </c>
      <c r="L117" s="17">
        <f t="shared" si="27"/>
        <v>1.7250843357468293E-2</v>
      </c>
      <c r="M117" s="17">
        <f t="shared" si="27"/>
        <v>1.7317619152347197E-2</v>
      </c>
      <c r="N117" s="17">
        <f t="shared" si="27"/>
        <v>3.1482236749985848E-2</v>
      </c>
      <c r="O117" s="17">
        <f t="shared" si="27"/>
        <v>1.6932830607544025E-2</v>
      </c>
      <c r="P117" s="17">
        <f t="shared" si="27"/>
        <v>2.6852439647880644E-2</v>
      </c>
      <c r="Q117" s="98"/>
      <c r="R117" s="18">
        <v>611</v>
      </c>
      <c r="S117" s="53">
        <v>647.1906468704783</v>
      </c>
      <c r="T117" s="53">
        <v>665.54928941423259</v>
      </c>
      <c r="U117" s="53">
        <v>688.16168054571335</v>
      </c>
      <c r="V117" s="53">
        <v>717.32682436355844</v>
      </c>
      <c r="W117" s="53">
        <v>726.96470715846044</v>
      </c>
      <c r="X117" s="53">
        <v>742.81905117202768</v>
      </c>
      <c r="Z117" s="17">
        <f t="shared" si="31"/>
        <v>5.9231827938589721E-2</v>
      </c>
      <c r="AA117" s="17">
        <f t="shared" si="31"/>
        <v>2.8366668511864868E-2</v>
      </c>
      <c r="AB117" s="17">
        <f t="shared" si="31"/>
        <v>3.3975531926992986E-2</v>
      </c>
      <c r="AC117" s="17">
        <f t="shared" si="31"/>
        <v>4.2381237785162673E-2</v>
      </c>
      <c r="AD117" s="17">
        <f t="shared" si="31"/>
        <v>1.3435832130567649E-2</v>
      </c>
      <c r="AE117" s="17">
        <f t="shared" si="31"/>
        <v>2.1808959716267839E-2</v>
      </c>
      <c r="AG117" s="18">
        <f t="shared" si="29"/>
        <v>0</v>
      </c>
      <c r="AH117" s="53">
        <f t="shared" si="29"/>
        <v>58.809353129521696</v>
      </c>
      <c r="AI117" s="53">
        <f t="shared" si="29"/>
        <v>52.629805996140021</v>
      </c>
      <c r="AJ117" s="53">
        <f t="shared" si="29"/>
        <v>42.45456692215339</v>
      </c>
      <c r="AK117" s="53">
        <f t="shared" si="29"/>
        <v>36.290856780477952</v>
      </c>
      <c r="AL117" s="53">
        <f t="shared" si="29"/>
        <v>39.413854523238115</v>
      </c>
      <c r="AM117" s="53">
        <f t="shared" si="29"/>
        <v>44.138644584658323</v>
      </c>
      <c r="AO117" s="17">
        <f t="shared" si="30"/>
        <v>0</v>
      </c>
      <c r="AP117" s="85">
        <f t="shared" si="30"/>
        <v>9.0868669709454508E-2</v>
      </c>
      <c r="AQ117" s="85">
        <f t="shared" si="30"/>
        <v>7.9077247670808815E-2</v>
      </c>
      <c r="AR117" s="85">
        <f t="shared" si="30"/>
        <v>6.1692721525102634E-2</v>
      </c>
      <c r="AS117" s="85">
        <f t="shared" si="30"/>
        <v>5.0591802157512689E-2</v>
      </c>
      <c r="AT117" s="85">
        <f t="shared" si="30"/>
        <v>5.421701237367893E-2</v>
      </c>
      <c r="AU117" s="85">
        <f t="shared" si="30"/>
        <v>5.9420453090178516E-2</v>
      </c>
    </row>
    <row r="118" spans="2:47" x14ac:dyDescent="0.15">
      <c r="B118" s="20" t="s">
        <v>56</v>
      </c>
      <c r="C118" s="18">
        <v>2379.483955132655</v>
      </c>
      <c r="D118" s="19">
        <v>2226.3312975106664</v>
      </c>
      <c r="E118" s="19">
        <v>2285.5561497500848</v>
      </c>
      <c r="F118" s="19">
        <v>2373.1521601521736</v>
      </c>
      <c r="G118" s="19">
        <v>2474.3894000881355</v>
      </c>
      <c r="H118" s="19">
        <v>2528.4696853765245</v>
      </c>
      <c r="I118" s="19">
        <v>2625.0672455239264</v>
      </c>
      <c r="K118" s="17">
        <f t="shared" si="27"/>
        <v>-6.4363811864178055E-2</v>
      </c>
      <c r="L118" s="17">
        <f t="shared" si="27"/>
        <v>2.6601994189112688E-2</v>
      </c>
      <c r="M118" s="17">
        <f t="shared" si="27"/>
        <v>3.8325906108964691E-2</v>
      </c>
      <c r="N118" s="17">
        <f t="shared" si="27"/>
        <v>4.2659396913458103E-2</v>
      </c>
      <c r="O118" s="17">
        <f t="shared" si="27"/>
        <v>2.1856012350547127E-2</v>
      </c>
      <c r="P118" s="17">
        <f t="shared" si="27"/>
        <v>3.8203962145987536E-2</v>
      </c>
      <c r="Q118" s="98"/>
      <c r="R118" s="18">
        <v>2379.483955132655</v>
      </c>
      <c r="S118" s="19">
        <v>2229.9308763818972</v>
      </c>
      <c r="T118" s="19">
        <v>2283.1615572370065</v>
      </c>
      <c r="U118" s="19">
        <v>2346.9547060201603</v>
      </c>
      <c r="V118" s="19">
        <v>2451.9196891438396</v>
      </c>
      <c r="W118" s="19">
        <v>2496.4271377422037</v>
      </c>
      <c r="X118" s="19">
        <v>2566.131899121915</v>
      </c>
      <c r="Z118" s="17">
        <f t="shared" si="31"/>
        <v>-6.285105576281147E-2</v>
      </c>
      <c r="AA118" s="17">
        <f t="shared" si="31"/>
        <v>2.3871000405840892E-2</v>
      </c>
      <c r="AB118" s="17">
        <f t="shared" si="31"/>
        <v>2.7940707297276823E-2</v>
      </c>
      <c r="AC118" s="17">
        <f t="shared" si="31"/>
        <v>4.4723906624373422E-2</v>
      </c>
      <c r="AD118" s="17">
        <f t="shared" si="31"/>
        <v>1.8152082547983062E-2</v>
      </c>
      <c r="AE118" s="17">
        <f t="shared" si="31"/>
        <v>2.7921808862706454E-2</v>
      </c>
      <c r="AG118" s="18">
        <f t="shared" si="29"/>
        <v>0</v>
      </c>
      <c r="AH118" s="19">
        <f t="shared" si="29"/>
        <v>-3.5995788712307331</v>
      </c>
      <c r="AI118" s="19">
        <f t="shared" si="29"/>
        <v>2.3945925130783507</v>
      </c>
      <c r="AJ118" s="19">
        <f t="shared" si="29"/>
        <v>26.197454132013263</v>
      </c>
      <c r="AK118" s="19">
        <f t="shared" si="29"/>
        <v>22.469710944295912</v>
      </c>
      <c r="AL118" s="19">
        <f t="shared" si="29"/>
        <v>32.042547634320727</v>
      </c>
      <c r="AM118" s="19">
        <f t="shared" si="29"/>
        <v>58.935346402011419</v>
      </c>
      <c r="AO118" s="17">
        <f t="shared" si="30"/>
        <v>0</v>
      </c>
      <c r="AP118" s="17">
        <f t="shared" si="30"/>
        <v>-1.6142109647233616E-3</v>
      </c>
      <c r="AQ118" s="17">
        <f t="shared" si="30"/>
        <v>1.0488055501320925E-3</v>
      </c>
      <c r="AR118" s="17">
        <f t="shared" si="30"/>
        <v>1.1162317732342331E-2</v>
      </c>
      <c r="AS118" s="17">
        <f t="shared" si="30"/>
        <v>9.164130066650733E-3</v>
      </c>
      <c r="AT118" s="17">
        <f t="shared" si="30"/>
        <v>1.2835362646834714E-2</v>
      </c>
      <c r="AU118" s="17">
        <f t="shared" si="30"/>
        <v>2.2966608389139331E-2</v>
      </c>
    </row>
    <row r="119" spans="2:47" ht="4" customHeight="1" x14ac:dyDescent="0.15">
      <c r="B119" s="24"/>
      <c r="C119" s="25"/>
      <c r="D119" s="26"/>
      <c r="E119" s="26"/>
      <c r="F119" s="26"/>
      <c r="G119" s="26"/>
      <c r="H119" s="26"/>
      <c r="I119" s="26"/>
      <c r="K119" s="56"/>
      <c r="L119" s="56"/>
      <c r="M119" s="56"/>
      <c r="N119" s="56"/>
      <c r="O119" s="56"/>
      <c r="P119" s="56"/>
      <c r="Q119" s="98"/>
      <c r="R119" s="25"/>
      <c r="S119" s="26"/>
      <c r="T119" s="26"/>
      <c r="U119" s="26"/>
      <c r="V119" s="26"/>
      <c r="W119" s="26"/>
      <c r="X119" s="26"/>
      <c r="Z119" s="56"/>
      <c r="AA119" s="56"/>
      <c r="AB119" s="56"/>
      <c r="AC119" s="56"/>
      <c r="AD119" s="56"/>
      <c r="AE119" s="56"/>
      <c r="AG119" s="25"/>
      <c r="AH119" s="26"/>
      <c r="AI119" s="26"/>
      <c r="AJ119" s="26"/>
      <c r="AK119" s="26"/>
      <c r="AL119" s="26"/>
      <c r="AM119" s="26"/>
      <c r="AO119" s="56"/>
      <c r="AP119" s="56"/>
      <c r="AQ119" s="56"/>
      <c r="AR119" s="56"/>
      <c r="AS119" s="56"/>
      <c r="AT119" s="56"/>
      <c r="AU119" s="56"/>
    </row>
    <row r="120" spans="2:47" ht="4" customHeight="1" x14ac:dyDescent="0.15">
      <c r="B120" s="20"/>
      <c r="C120" s="18"/>
      <c r="D120" s="19"/>
      <c r="E120" s="19"/>
      <c r="F120" s="19"/>
      <c r="G120" s="19"/>
      <c r="H120" s="19"/>
      <c r="I120" s="19"/>
      <c r="K120" s="17"/>
      <c r="L120" s="17"/>
      <c r="M120" s="17"/>
      <c r="N120" s="17"/>
      <c r="O120" s="17"/>
      <c r="P120" s="17"/>
      <c r="Q120" s="98"/>
      <c r="R120" s="18"/>
      <c r="S120" s="19"/>
      <c r="T120" s="19"/>
      <c r="U120" s="19"/>
      <c r="V120" s="19"/>
      <c r="W120" s="19"/>
      <c r="X120" s="19"/>
      <c r="Z120" s="17"/>
      <c r="AA120" s="17"/>
      <c r="AB120" s="17"/>
      <c r="AC120" s="17"/>
      <c r="AD120" s="17"/>
      <c r="AE120" s="17"/>
      <c r="AG120" s="18"/>
      <c r="AH120" s="19"/>
      <c r="AI120" s="19"/>
      <c r="AJ120" s="19"/>
      <c r="AK120" s="19"/>
      <c r="AL120" s="19"/>
      <c r="AM120" s="19"/>
      <c r="AO120" s="17"/>
      <c r="AP120" s="17"/>
      <c r="AQ120" s="17"/>
      <c r="AR120" s="17"/>
      <c r="AS120" s="17"/>
      <c r="AT120" s="17"/>
      <c r="AU120" s="17"/>
    </row>
    <row r="121" spans="2:47" x14ac:dyDescent="0.15">
      <c r="B121" s="57" t="s">
        <v>4</v>
      </c>
      <c r="C121" s="18">
        <v>3468.4453300169957</v>
      </c>
      <c r="D121" s="19">
        <v>3479.9435520363495</v>
      </c>
      <c r="E121" s="19">
        <v>3528.5273971403985</v>
      </c>
      <c r="F121" s="19">
        <v>3628.8138419604538</v>
      </c>
      <c r="G121" s="19">
        <v>3742.8554416731013</v>
      </c>
      <c r="H121" s="19">
        <v>3900.9185158955233</v>
      </c>
      <c r="I121" s="19">
        <v>4040.1980080823814</v>
      </c>
      <c r="K121" s="17">
        <f t="shared" si="27"/>
        <v>3.3150939182591266E-3</v>
      </c>
      <c r="L121" s="17">
        <f t="shared" si="27"/>
        <v>1.3961101488447758E-2</v>
      </c>
      <c r="M121" s="17">
        <f t="shared" si="27"/>
        <v>2.8421614325945033E-2</v>
      </c>
      <c r="N121" s="17">
        <f t="shared" si="27"/>
        <v>3.1426687804695153E-2</v>
      </c>
      <c r="O121" s="17">
        <f t="shared" si="27"/>
        <v>4.223061154394081E-2</v>
      </c>
      <c r="P121" s="17">
        <f t="shared" si="27"/>
        <v>3.5704281342796573E-2</v>
      </c>
      <c r="Q121" s="98"/>
      <c r="R121" s="18">
        <v>3468.4453300169957</v>
      </c>
      <c r="S121" s="19">
        <v>3433.4548168119527</v>
      </c>
      <c r="T121" s="19">
        <v>3491.9985745719432</v>
      </c>
      <c r="U121" s="19">
        <v>3648.52413287741</v>
      </c>
      <c r="V121" s="19">
        <v>3772.6114521788695</v>
      </c>
      <c r="W121" s="19">
        <v>3928.2318887318897</v>
      </c>
      <c r="X121" s="19">
        <v>4094.9593163082141</v>
      </c>
      <c r="Z121" s="17">
        <f t="shared" ref="Z121:AE122" si="32">S121/R121-1</f>
        <v>-1.0088241236563378E-2</v>
      </c>
      <c r="AA121" s="17">
        <f t="shared" si="32"/>
        <v>1.7050976606224788E-2</v>
      </c>
      <c r="AB121" s="17">
        <f t="shared" si="32"/>
        <v>4.4824061339903132E-2</v>
      </c>
      <c r="AC121" s="17">
        <f t="shared" si="32"/>
        <v>3.4010277795147204E-2</v>
      </c>
      <c r="AD121" s="17">
        <f t="shared" si="32"/>
        <v>4.1250056764563281E-2</v>
      </c>
      <c r="AE121" s="17">
        <f t="shared" si="32"/>
        <v>4.2443377147510342E-2</v>
      </c>
      <c r="AG121" s="18">
        <f t="shared" si="29"/>
        <v>0</v>
      </c>
      <c r="AH121" s="19">
        <f t="shared" si="29"/>
        <v>46.488735224396805</v>
      </c>
      <c r="AI121" s="19">
        <f t="shared" si="29"/>
        <v>36.528822568455325</v>
      </c>
      <c r="AJ121" s="19">
        <f t="shared" si="29"/>
        <v>-19.710290916956183</v>
      </c>
      <c r="AK121" s="19">
        <f t="shared" si="29"/>
        <v>-29.756010505768245</v>
      </c>
      <c r="AL121" s="19">
        <f t="shared" si="29"/>
        <v>-27.313372836366398</v>
      </c>
      <c r="AM121" s="19">
        <f t="shared" si="29"/>
        <v>-54.761308225832636</v>
      </c>
      <c r="AO121" s="17">
        <f t="shared" si="30"/>
        <v>0</v>
      </c>
      <c r="AP121" s="17">
        <f t="shared" si="30"/>
        <v>1.3539929227192493E-2</v>
      </c>
      <c r="AQ121" s="17">
        <f t="shared" si="30"/>
        <v>1.0460720927680578E-2</v>
      </c>
      <c r="AR121" s="17">
        <f t="shared" si="30"/>
        <v>-5.4022640934024979E-3</v>
      </c>
      <c r="AS121" s="17">
        <f t="shared" si="30"/>
        <v>-7.8873774527145057E-3</v>
      </c>
      <c r="AT121" s="17">
        <f t="shared" si="30"/>
        <v>-6.9530958482146854E-3</v>
      </c>
      <c r="AU121" s="17">
        <f t="shared" si="30"/>
        <v>-1.3372857700379437E-2</v>
      </c>
    </row>
    <row r="122" spans="2:47" x14ac:dyDescent="0.15">
      <c r="B122" s="57" t="s">
        <v>5</v>
      </c>
      <c r="C122" s="18">
        <v>13047.961003397271</v>
      </c>
      <c r="D122" s="19">
        <v>12927.145330737576</v>
      </c>
      <c r="E122" s="19">
        <v>13275.664436997296</v>
      </c>
      <c r="F122" s="19">
        <v>13827.543828248385</v>
      </c>
      <c r="G122" s="19">
        <v>14443.965945112341</v>
      </c>
      <c r="H122" s="19">
        <v>15016.109404253995</v>
      </c>
      <c r="I122" s="19">
        <v>15611.203002128324</v>
      </c>
      <c r="K122" s="17">
        <f t="shared" si="27"/>
        <v>-9.2593526780344604E-3</v>
      </c>
      <c r="L122" s="17">
        <f t="shared" si="27"/>
        <v>2.6960252812430863E-2</v>
      </c>
      <c r="M122" s="17">
        <f t="shared" si="27"/>
        <v>4.1570754810063004E-2</v>
      </c>
      <c r="N122" s="17">
        <f t="shared" si="27"/>
        <v>4.4579292209847354E-2</v>
      </c>
      <c r="O122" s="17">
        <f t="shared" si="27"/>
        <v>3.9611243983530775E-2</v>
      </c>
      <c r="P122" s="17">
        <f t="shared" si="27"/>
        <v>3.963034510828356E-2</v>
      </c>
      <c r="Q122" s="98"/>
      <c r="R122" s="18">
        <v>13047.961003397271</v>
      </c>
      <c r="S122" s="19">
        <v>12754.450967308523</v>
      </c>
      <c r="T122" s="19">
        <v>13138.229089013195</v>
      </c>
      <c r="U122" s="19">
        <v>13640.691795952673</v>
      </c>
      <c r="V122" s="19">
        <v>14285.193563406869</v>
      </c>
      <c r="W122" s="19">
        <v>14836.92828843584</v>
      </c>
      <c r="X122" s="19">
        <v>15427.612487884104</v>
      </c>
      <c r="Z122" s="17">
        <f t="shared" si="32"/>
        <v>-2.2494705188981445E-2</v>
      </c>
      <c r="AA122" s="17">
        <f t="shared" si="32"/>
        <v>3.0089740647272878E-2</v>
      </c>
      <c r="AB122" s="17">
        <f t="shared" si="32"/>
        <v>3.8244325284269909E-2</v>
      </c>
      <c r="AC122" s="17">
        <f t="shared" si="32"/>
        <v>4.7248466360439778E-2</v>
      </c>
      <c r="AD122" s="17">
        <f t="shared" si="32"/>
        <v>3.862283857618154E-2</v>
      </c>
      <c r="AE122" s="17">
        <f t="shared" si="32"/>
        <v>3.9811758065087632E-2</v>
      </c>
      <c r="AG122" s="18">
        <f t="shared" si="29"/>
        <v>0</v>
      </c>
      <c r="AH122" s="19">
        <f t="shared" si="29"/>
        <v>172.69436342905283</v>
      </c>
      <c r="AI122" s="19">
        <f t="shared" si="29"/>
        <v>137.4353479841011</v>
      </c>
      <c r="AJ122" s="19">
        <f t="shared" si="29"/>
        <v>186.85203229571198</v>
      </c>
      <c r="AK122" s="19">
        <f t="shared" si="29"/>
        <v>158.77238170547207</v>
      </c>
      <c r="AL122" s="19">
        <f t="shared" si="29"/>
        <v>179.18111581815538</v>
      </c>
      <c r="AM122" s="19">
        <f t="shared" si="29"/>
        <v>183.59051424422069</v>
      </c>
      <c r="AO122" s="17">
        <f t="shared" si="30"/>
        <v>0</v>
      </c>
      <c r="AP122" s="17">
        <f t="shared" si="30"/>
        <v>1.3539929227192493E-2</v>
      </c>
      <c r="AQ122" s="17">
        <f t="shared" si="30"/>
        <v>1.0460720927680578E-2</v>
      </c>
      <c r="AR122" s="17">
        <f t="shared" si="30"/>
        <v>1.3698134602759149E-2</v>
      </c>
      <c r="AS122" s="17">
        <f t="shared" si="30"/>
        <v>1.1114471848122864E-2</v>
      </c>
      <c r="AT122" s="17">
        <f t="shared" si="30"/>
        <v>1.2076698918725093E-2</v>
      </c>
      <c r="AU122" s="17">
        <f t="shared" si="30"/>
        <v>1.1900124817654234E-2</v>
      </c>
    </row>
    <row r="123" spans="2:47" ht="4" customHeight="1" x14ac:dyDescent="0.15">
      <c r="C123" s="36"/>
      <c r="D123" s="37"/>
      <c r="E123" s="37"/>
      <c r="F123" s="37"/>
      <c r="G123" s="37"/>
      <c r="H123" s="37"/>
      <c r="I123" s="37"/>
      <c r="L123" s="36"/>
      <c r="M123" s="36"/>
      <c r="N123" s="36"/>
      <c r="O123" s="36"/>
      <c r="P123" s="36"/>
      <c r="R123" s="36"/>
      <c r="S123" s="37"/>
      <c r="T123" s="37"/>
      <c r="U123" s="37"/>
      <c r="V123" s="37"/>
      <c r="W123" s="37"/>
      <c r="X123" s="37"/>
      <c r="AA123" s="36"/>
      <c r="AB123" s="36"/>
      <c r="AC123" s="36"/>
      <c r="AD123" s="36"/>
      <c r="AE123" s="36"/>
      <c r="AG123" s="36"/>
      <c r="AH123" s="37"/>
      <c r="AI123" s="37"/>
      <c r="AJ123" s="37"/>
      <c r="AK123" s="37"/>
      <c r="AL123" s="37"/>
      <c r="AM123" s="37"/>
      <c r="AO123" s="36"/>
      <c r="AP123" s="36"/>
      <c r="AQ123" s="36"/>
      <c r="AR123" s="36"/>
      <c r="AS123" s="36"/>
      <c r="AT123" s="36"/>
      <c r="AU123" s="36"/>
    </row>
    <row r="124" spans="2:47" x14ac:dyDescent="0.15">
      <c r="B124" s="38" t="s">
        <v>77</v>
      </c>
      <c r="K124" s="77"/>
      <c r="L124" s="77"/>
      <c r="M124" s="77"/>
      <c r="N124" s="77"/>
      <c r="O124" s="77"/>
      <c r="P124" s="77"/>
      <c r="Q124" s="58"/>
      <c r="Z124" s="77"/>
      <c r="AA124" s="77"/>
      <c r="AB124" s="77"/>
      <c r="AC124" s="77"/>
      <c r="AD124" s="77"/>
      <c r="AE124" s="77"/>
    </row>
    <row r="125" spans="2:47" x14ac:dyDescent="0.15">
      <c r="B125" s="39"/>
      <c r="C125" s="102"/>
      <c r="D125" s="102"/>
      <c r="E125" s="102"/>
      <c r="F125" s="102"/>
      <c r="G125" s="102"/>
      <c r="H125" s="102"/>
      <c r="I125" s="102"/>
      <c r="K125" s="58"/>
      <c r="L125" s="58"/>
      <c r="M125" s="58"/>
      <c r="N125" s="58"/>
      <c r="O125" s="58"/>
      <c r="P125" s="58"/>
      <c r="Q125" s="58"/>
      <c r="R125" s="102"/>
      <c r="S125" s="102"/>
      <c r="T125" s="102"/>
      <c r="U125" s="102"/>
      <c r="V125" s="102"/>
      <c r="W125" s="102"/>
      <c r="X125" s="102"/>
      <c r="Z125" s="58"/>
      <c r="AA125" s="58"/>
      <c r="AB125" s="58"/>
      <c r="AC125" s="58"/>
      <c r="AD125" s="58"/>
      <c r="AE125" s="58"/>
      <c r="AG125" s="102"/>
      <c r="AH125" s="102"/>
      <c r="AI125" s="102"/>
      <c r="AJ125" s="102"/>
      <c r="AK125" s="102"/>
      <c r="AL125" s="102"/>
      <c r="AM125" s="102"/>
      <c r="AO125" s="102"/>
      <c r="AP125" s="102"/>
      <c r="AQ125" s="102"/>
      <c r="AR125" s="102"/>
      <c r="AS125" s="102"/>
      <c r="AT125" s="102"/>
      <c r="AU125" s="102"/>
    </row>
    <row r="126" spans="2:47" x14ac:dyDescent="0.15">
      <c r="B126" s="39"/>
      <c r="C126" s="102"/>
      <c r="D126" s="102"/>
      <c r="E126" s="102"/>
      <c r="F126" s="102"/>
      <c r="G126" s="102"/>
      <c r="H126" s="102"/>
      <c r="I126" s="102"/>
      <c r="K126" s="58"/>
      <c r="L126" s="58"/>
      <c r="M126" s="58"/>
      <c r="N126" s="58"/>
      <c r="O126" s="58"/>
      <c r="P126" s="58"/>
      <c r="Q126" s="58"/>
      <c r="R126" s="102"/>
      <c r="S126" s="102"/>
      <c r="T126" s="102"/>
      <c r="U126" s="102"/>
      <c r="V126" s="102"/>
      <c r="W126" s="102"/>
      <c r="X126" s="102"/>
      <c r="Z126" s="58"/>
      <c r="AA126" s="58"/>
      <c r="AB126" s="58"/>
      <c r="AC126" s="58"/>
      <c r="AD126" s="58"/>
      <c r="AE126" s="58"/>
      <c r="AG126" s="102"/>
      <c r="AH126" s="102"/>
      <c r="AI126" s="102"/>
      <c r="AJ126" s="102"/>
      <c r="AK126" s="102"/>
      <c r="AL126" s="102"/>
      <c r="AM126" s="102"/>
      <c r="AO126" s="102"/>
      <c r="AP126" s="102"/>
      <c r="AQ126" s="102"/>
      <c r="AR126" s="102"/>
      <c r="AS126" s="102"/>
      <c r="AT126" s="102"/>
      <c r="AU126" s="102"/>
    </row>
    <row r="128" spans="2:47" ht="16" x14ac:dyDescent="0.2">
      <c r="B128" s="1" t="s">
        <v>57</v>
      </c>
    </row>
    <row r="129" spans="2:49" ht="4" customHeight="1" x14ac:dyDescent="0.15">
      <c r="C129" s="75"/>
      <c r="D129" s="3"/>
      <c r="R129" s="75"/>
      <c r="S129" s="3"/>
      <c r="AG129" s="75"/>
      <c r="AH129" s="3"/>
      <c r="AO129" s="75"/>
      <c r="AP129" s="3"/>
    </row>
    <row r="130" spans="2:49" x14ac:dyDescent="0.15">
      <c r="C130" s="5">
        <v>2024</v>
      </c>
      <c r="D130" s="6">
        <v>2025</v>
      </c>
      <c r="E130" s="6">
        <v>2026</v>
      </c>
      <c r="F130" s="6">
        <v>2027</v>
      </c>
      <c r="G130" s="6">
        <v>2028</v>
      </c>
      <c r="H130" s="6">
        <v>2029</v>
      </c>
      <c r="I130" s="6">
        <v>2030</v>
      </c>
      <c r="K130" s="5">
        <v>2025</v>
      </c>
      <c r="L130" s="5">
        <v>2026</v>
      </c>
      <c r="M130" s="5">
        <v>2027</v>
      </c>
      <c r="N130" s="5">
        <v>2028</v>
      </c>
      <c r="O130" s="5">
        <v>2029</v>
      </c>
      <c r="P130" s="5">
        <v>2030</v>
      </c>
      <c r="Q130" s="7"/>
      <c r="R130" s="5">
        <v>2024</v>
      </c>
      <c r="S130" s="6">
        <v>2025</v>
      </c>
      <c r="T130" s="6">
        <v>2026</v>
      </c>
      <c r="U130" s="6">
        <v>2027</v>
      </c>
      <c r="V130" s="6">
        <v>2028</v>
      </c>
      <c r="W130" s="6">
        <v>2029</v>
      </c>
      <c r="X130" s="6">
        <v>2030</v>
      </c>
      <c r="Z130" s="5">
        <v>2025</v>
      </c>
      <c r="AA130" s="5">
        <v>2026</v>
      </c>
      <c r="AB130" s="5">
        <v>2027</v>
      </c>
      <c r="AC130" s="5">
        <v>2028</v>
      </c>
      <c r="AD130" s="5">
        <v>2029</v>
      </c>
      <c r="AE130" s="5">
        <v>2030</v>
      </c>
      <c r="AG130" s="5">
        <v>2024</v>
      </c>
      <c r="AH130" s="6">
        <v>2025</v>
      </c>
      <c r="AI130" s="6">
        <v>2026</v>
      </c>
      <c r="AJ130" s="6">
        <v>2027</v>
      </c>
      <c r="AK130" s="6">
        <v>2028</v>
      </c>
      <c r="AL130" s="6">
        <v>2029</v>
      </c>
      <c r="AM130" s="6">
        <v>2030</v>
      </c>
      <c r="AO130" s="5">
        <v>2024</v>
      </c>
      <c r="AP130" s="5">
        <v>2025</v>
      </c>
      <c r="AQ130" s="5">
        <v>2026</v>
      </c>
      <c r="AR130" s="5">
        <v>2027</v>
      </c>
      <c r="AS130" s="5">
        <v>2028</v>
      </c>
      <c r="AT130" s="5">
        <v>2029</v>
      </c>
      <c r="AU130" s="5">
        <v>2030</v>
      </c>
    </row>
    <row r="131" spans="2:49" ht="4" customHeight="1" x14ac:dyDescent="0.15">
      <c r="D131" s="8"/>
      <c r="E131" s="8"/>
      <c r="F131" s="8"/>
      <c r="G131" s="8"/>
      <c r="H131" s="8"/>
      <c r="I131" s="8"/>
      <c r="S131" s="8"/>
      <c r="T131" s="8"/>
      <c r="U131" s="8"/>
      <c r="V131" s="8"/>
      <c r="W131" s="8"/>
      <c r="X131" s="8"/>
      <c r="AH131" s="8"/>
      <c r="AI131" s="8"/>
      <c r="AJ131" s="8"/>
      <c r="AK131" s="8"/>
      <c r="AL131" s="8"/>
      <c r="AM131" s="8"/>
    </row>
    <row r="132" spans="2:49" x14ac:dyDescent="0.15">
      <c r="B132" s="7" t="s">
        <v>7</v>
      </c>
      <c r="C132" s="107">
        <v>26.035311849565957</v>
      </c>
      <c r="D132" s="108">
        <v>25.414717339367012</v>
      </c>
      <c r="E132" s="108">
        <v>26.629010786270534</v>
      </c>
      <c r="F132" s="108">
        <v>28.400292435805824</v>
      </c>
      <c r="G132" s="108">
        <v>30.304179198683595</v>
      </c>
      <c r="H132" s="108">
        <v>32.156350592728401</v>
      </c>
      <c r="I132" s="108">
        <v>34.115873207579497</v>
      </c>
      <c r="K132" s="44">
        <f t="shared" ref="K132:P154" si="33">D132/C132-1</f>
        <v>-2.3836645928606015E-2</v>
      </c>
      <c r="L132" s="44">
        <f t="shared" si="33"/>
        <v>4.7779144292216857E-2</v>
      </c>
      <c r="M132" s="44">
        <f t="shared" si="33"/>
        <v>6.6516990201098025E-2</v>
      </c>
      <c r="N132" s="44">
        <f t="shared" si="33"/>
        <v>6.7037576010218647E-2</v>
      </c>
      <c r="O132" s="44">
        <f t="shared" si="33"/>
        <v>6.1119338751971952E-2</v>
      </c>
      <c r="P132" s="44">
        <f t="shared" si="33"/>
        <v>6.0937344528586124E-2</v>
      </c>
      <c r="Q132" s="116"/>
      <c r="R132" s="107">
        <v>26.035311849565957</v>
      </c>
      <c r="S132" s="108">
        <v>24.87710565163502</v>
      </c>
      <c r="T132" s="108">
        <v>26.32684603888444</v>
      </c>
      <c r="U132" s="108">
        <v>28.263848390491347</v>
      </c>
      <c r="V132" s="108">
        <v>30.376189536417485</v>
      </c>
      <c r="W132" s="108">
        <v>32.386592321589852</v>
      </c>
      <c r="X132" s="108">
        <v>34.330706645216225</v>
      </c>
      <c r="Z132" s="44">
        <f t="shared" ref="Z132:AE132" si="34">S132/R132-1</f>
        <v>-4.4485973689239566E-2</v>
      </c>
      <c r="AA132" s="44">
        <f t="shared" si="34"/>
        <v>5.8276087562225687E-2</v>
      </c>
      <c r="AB132" s="44">
        <f t="shared" si="34"/>
        <v>7.3575176788969632E-2</v>
      </c>
      <c r="AC132" s="44">
        <f t="shared" si="34"/>
        <v>7.4736501439654601E-2</v>
      </c>
      <c r="AD132" s="44">
        <f t="shared" si="34"/>
        <v>6.61835080651616E-2</v>
      </c>
      <c r="AE132" s="44">
        <f t="shared" si="34"/>
        <v>6.0028369280777039E-2</v>
      </c>
      <c r="AG132" s="107">
        <f t="shared" ref="AG132:AM154" si="35">C132-R132</f>
        <v>0</v>
      </c>
      <c r="AH132" s="108">
        <f t="shared" si="35"/>
        <v>0.5376116877319923</v>
      </c>
      <c r="AI132" s="108">
        <f t="shared" si="35"/>
        <v>0.30216474738609378</v>
      </c>
      <c r="AJ132" s="108">
        <f t="shared" si="35"/>
        <v>0.13644404531447663</v>
      </c>
      <c r="AK132" s="108">
        <f t="shared" si="35"/>
        <v>-7.2010337733889429E-2</v>
      </c>
      <c r="AL132" s="108">
        <f t="shared" si="35"/>
        <v>-0.23024172886145067</v>
      </c>
      <c r="AM132" s="108">
        <f t="shared" si="35"/>
        <v>-0.21483343763672735</v>
      </c>
      <c r="AO132" s="44">
        <f t="shared" ref="AO132:AU154" si="36">C132/R132-1</f>
        <v>0</v>
      </c>
      <c r="AP132" s="44">
        <f t="shared" si="36"/>
        <v>2.1610700829123974E-2</v>
      </c>
      <c r="AQ132" s="44">
        <f t="shared" si="36"/>
        <v>1.1477438161023867E-2</v>
      </c>
      <c r="AR132" s="44">
        <f t="shared" si="36"/>
        <v>4.8275112231488393E-3</v>
      </c>
      <c r="AS132" s="44">
        <f t="shared" si="36"/>
        <v>-2.3706178698799096E-3</v>
      </c>
      <c r="AT132" s="44">
        <f t="shared" si="36"/>
        <v>-7.1091680957111603E-3</v>
      </c>
      <c r="AU132" s="44">
        <f t="shared" si="36"/>
        <v>-6.2577633445439762E-3</v>
      </c>
    </row>
    <row r="133" spans="2:49" ht="4" customHeight="1" x14ac:dyDescent="0.15">
      <c r="C133" s="61"/>
      <c r="D133" s="109"/>
      <c r="E133" s="109"/>
      <c r="F133" s="109"/>
      <c r="G133" s="109"/>
      <c r="H133" s="109"/>
      <c r="I133" s="109"/>
      <c r="K133" s="17"/>
      <c r="L133" s="17"/>
      <c r="M133" s="17"/>
      <c r="N133" s="17"/>
      <c r="O133" s="17"/>
      <c r="P133" s="17"/>
      <c r="Q133" s="18"/>
      <c r="R133" s="61"/>
      <c r="S133" s="109"/>
      <c r="T133" s="109"/>
      <c r="U133" s="109"/>
      <c r="V133" s="109"/>
      <c r="W133" s="109"/>
      <c r="X133" s="109"/>
      <c r="Z133" s="17"/>
      <c r="AA133" s="17"/>
      <c r="AB133" s="17"/>
      <c r="AC133" s="17"/>
      <c r="AD133" s="17"/>
      <c r="AE133" s="17"/>
      <c r="AG133" s="61"/>
      <c r="AH133" s="109"/>
      <c r="AI133" s="109"/>
      <c r="AJ133" s="109"/>
      <c r="AK133" s="109"/>
      <c r="AL133" s="109"/>
      <c r="AM133" s="109"/>
      <c r="AO133" s="17"/>
      <c r="AP133" s="17"/>
      <c r="AQ133" s="17"/>
      <c r="AR133" s="17"/>
      <c r="AS133" s="17"/>
      <c r="AT133" s="17"/>
      <c r="AU133" s="17"/>
    </row>
    <row r="134" spans="2:49" x14ac:dyDescent="0.15">
      <c r="B134" s="20" t="s">
        <v>42</v>
      </c>
      <c r="C134" s="110">
        <v>1.9779324679741852</v>
      </c>
      <c r="D134" s="111">
        <v>1.8538121484482331</v>
      </c>
      <c r="E134" s="111">
        <v>2.0012029115933507</v>
      </c>
      <c r="F134" s="111">
        <v>2.2104119993095059</v>
      </c>
      <c r="G134" s="111">
        <v>2.4249159363959181</v>
      </c>
      <c r="H134" s="111">
        <v>2.6526476162693267</v>
      </c>
      <c r="I134" s="111">
        <v>2.9372228394706332</v>
      </c>
      <c r="K134" s="17">
        <f t="shared" si="33"/>
        <v>-6.2752556791323189E-2</v>
      </c>
      <c r="L134" s="17">
        <f t="shared" si="33"/>
        <v>7.9506849315068795E-2</v>
      </c>
      <c r="M134" s="17">
        <f t="shared" si="33"/>
        <v>0.10454166666666675</v>
      </c>
      <c r="N134" s="17">
        <f t="shared" si="33"/>
        <v>9.7042513863216273E-2</v>
      </c>
      <c r="O134" s="17">
        <f t="shared" si="33"/>
        <v>9.3913226621735735E-2</v>
      </c>
      <c r="P134" s="17">
        <f t="shared" si="33"/>
        <v>0.10727969348658983</v>
      </c>
      <c r="Q134" s="98"/>
      <c r="R134" s="110">
        <v>1.9779324679741852</v>
      </c>
      <c r="S134" s="111">
        <v>1.9973514774166397</v>
      </c>
      <c r="T134" s="111">
        <v>2.0961096765498142</v>
      </c>
      <c r="U134" s="111">
        <v>2.3490266442217393</v>
      </c>
      <c r="V134" s="111">
        <v>2.5843834973639401</v>
      </c>
      <c r="W134" s="111">
        <v>2.9208199105292811</v>
      </c>
      <c r="X134" s="111">
        <v>3.2010074203153676</v>
      </c>
      <c r="Z134" s="17">
        <f t="shared" ref="Z134:AE150" si="37">S134/R134-1</f>
        <v>9.8178323865341088E-3</v>
      </c>
      <c r="AA134" s="17">
        <f t="shared" si="37"/>
        <v>4.9444577106132481E-2</v>
      </c>
      <c r="AB134" s="17">
        <f t="shared" si="37"/>
        <v>0.12066017847321109</v>
      </c>
      <c r="AC134" s="17">
        <f t="shared" si="37"/>
        <v>0.10019335188093503</v>
      </c>
      <c r="AD134" s="17">
        <f t="shared" si="37"/>
        <v>0.13018052990529649</v>
      </c>
      <c r="AE134" s="17">
        <f t="shared" si="37"/>
        <v>9.5927690980206259E-2</v>
      </c>
      <c r="AG134" s="110">
        <f t="shared" si="35"/>
        <v>0</v>
      </c>
      <c r="AH134" s="111">
        <f t="shared" si="35"/>
        <v>-0.1435393289684066</v>
      </c>
      <c r="AI134" s="111">
        <f t="shared" si="35"/>
        <v>-9.4906764956463441E-2</v>
      </c>
      <c r="AJ134" s="111">
        <f t="shared" si="35"/>
        <v>-0.13861464491223341</v>
      </c>
      <c r="AK134" s="111">
        <f t="shared" si="35"/>
        <v>-0.15946756096802206</v>
      </c>
      <c r="AL134" s="111">
        <f t="shared" si="35"/>
        <v>-0.26817229425995448</v>
      </c>
      <c r="AM134" s="111">
        <f t="shared" si="35"/>
        <v>-0.26378458084473433</v>
      </c>
      <c r="AO134" s="17">
        <f t="shared" si="36"/>
        <v>0</v>
      </c>
      <c r="AP134" s="17">
        <f t="shared" si="36"/>
        <v>-7.1864832299851078E-2</v>
      </c>
      <c r="AQ134" s="17">
        <f t="shared" si="36"/>
        <v>-4.5277575891295663E-2</v>
      </c>
      <c r="AR134" s="17">
        <f t="shared" si="36"/>
        <v>-5.9009396616766852E-2</v>
      </c>
      <c r="AS134" s="17">
        <f t="shared" si="36"/>
        <v>-6.170429471116734E-2</v>
      </c>
      <c r="AT134" s="17">
        <f t="shared" si="36"/>
        <v>-9.1814046218056333E-2</v>
      </c>
      <c r="AU134" s="17">
        <f t="shared" si="36"/>
        <v>-8.2406738319508732E-2</v>
      </c>
      <c r="AV134" s="72"/>
      <c r="AW134" s="72"/>
    </row>
    <row r="135" spans="2:49" x14ac:dyDescent="0.15">
      <c r="B135" s="20" t="s">
        <v>43</v>
      </c>
      <c r="C135" s="110">
        <v>1.5436450695262471</v>
      </c>
      <c r="D135" s="111">
        <v>1.7258234712243421</v>
      </c>
      <c r="E135" s="111">
        <v>1.7587410851169047</v>
      </c>
      <c r="F135" s="111">
        <v>1.8528854608496328</v>
      </c>
      <c r="G135" s="111">
        <v>1.9646172474335304</v>
      </c>
      <c r="H135" s="111">
        <v>2.0832391608567686</v>
      </c>
      <c r="I135" s="111">
        <v>2.197010750869488</v>
      </c>
      <c r="K135" s="17">
        <f t="shared" si="33"/>
        <v>0.11801832253706257</v>
      </c>
      <c r="L135" s="17">
        <f t="shared" si="33"/>
        <v>1.9073569482288999E-2</v>
      </c>
      <c r="M135" s="17">
        <f t="shared" si="33"/>
        <v>5.3529411764705603E-2</v>
      </c>
      <c r="N135" s="17">
        <f t="shared" si="33"/>
        <v>6.0301507537688481E-2</v>
      </c>
      <c r="O135" s="17">
        <f t="shared" si="33"/>
        <v>6.037914691943147E-2</v>
      </c>
      <c r="P135" s="17">
        <f t="shared" si="33"/>
        <v>5.4612831858406929E-2</v>
      </c>
      <c r="Q135" s="98"/>
      <c r="R135" s="110">
        <v>1.5436450695262471</v>
      </c>
      <c r="S135" s="111">
        <v>1.6083981417073283</v>
      </c>
      <c r="T135" s="111">
        <v>1.7001477061059418</v>
      </c>
      <c r="U135" s="111">
        <v>1.8009950302874536</v>
      </c>
      <c r="V135" s="111">
        <v>1.9096021091509101</v>
      </c>
      <c r="W135" s="111">
        <v>1.9837990781770101</v>
      </c>
      <c r="X135" s="111">
        <v>2.080656256795963</v>
      </c>
      <c r="Z135" s="17">
        <f t="shared" si="37"/>
        <v>4.1948161179923504E-2</v>
      </c>
      <c r="AA135" s="17">
        <f t="shared" si="37"/>
        <v>5.70440626729527E-2</v>
      </c>
      <c r="AB135" s="17">
        <f t="shared" si="37"/>
        <v>5.9316801604546887E-2</v>
      </c>
      <c r="AC135" s="17">
        <f t="shared" si="37"/>
        <v>6.0303930347948898E-2</v>
      </c>
      <c r="AD135" s="17">
        <f t="shared" si="37"/>
        <v>3.8854674840661518E-2</v>
      </c>
      <c r="AE135" s="17">
        <f t="shared" si="37"/>
        <v>4.8824086917087728E-2</v>
      </c>
      <c r="AG135" s="110">
        <f t="shared" si="35"/>
        <v>0</v>
      </c>
      <c r="AH135" s="111">
        <f t="shared" si="35"/>
        <v>0.11742532951701379</v>
      </c>
      <c r="AI135" s="111">
        <f t="shared" si="35"/>
        <v>5.8593379010962954E-2</v>
      </c>
      <c r="AJ135" s="111">
        <f t="shared" si="35"/>
        <v>5.1890430562179235E-2</v>
      </c>
      <c r="AK135" s="111">
        <f t="shared" si="35"/>
        <v>5.5015138282620279E-2</v>
      </c>
      <c r="AL135" s="111">
        <f t="shared" si="35"/>
        <v>9.9440082679758568E-2</v>
      </c>
      <c r="AM135" s="111">
        <f t="shared" si="35"/>
        <v>0.11635449407352505</v>
      </c>
      <c r="AO135" s="17">
        <f t="shared" si="36"/>
        <v>0</v>
      </c>
      <c r="AP135" s="17">
        <f t="shared" si="36"/>
        <v>7.3007625706633661E-2</v>
      </c>
      <c r="AQ135" s="17">
        <f t="shared" si="36"/>
        <v>3.4463699124805292E-2</v>
      </c>
      <c r="AR135" s="17">
        <f t="shared" si="36"/>
        <v>2.8812089811206754E-2</v>
      </c>
      <c r="AS135" s="17">
        <f t="shared" si="36"/>
        <v>2.8809738960270836E-2</v>
      </c>
      <c r="AT135" s="17">
        <f t="shared" si="36"/>
        <v>5.0126085738046555E-2</v>
      </c>
      <c r="AU135" s="17">
        <f t="shared" si="36"/>
        <v>5.5922016764413218E-2</v>
      </c>
      <c r="AV135" s="72"/>
      <c r="AW135" s="72"/>
    </row>
    <row r="136" spans="2:49" x14ac:dyDescent="0.15">
      <c r="B136" s="20" t="s">
        <v>44</v>
      </c>
      <c r="C136" s="110">
        <v>0.88887373164978778</v>
      </c>
      <c r="D136" s="111">
        <v>1.0206091610614692</v>
      </c>
      <c r="E136" s="111">
        <v>1.0524059805636683</v>
      </c>
      <c r="F136" s="111">
        <v>1.1273391505449846</v>
      </c>
      <c r="G136" s="111">
        <v>1.2341956273182912</v>
      </c>
      <c r="H136" s="111">
        <v>1.3444314318680868</v>
      </c>
      <c r="I136" s="111">
        <v>1.4820459394214023</v>
      </c>
      <c r="K136" s="17">
        <f t="shared" si="33"/>
        <v>0.1482048852621336</v>
      </c>
      <c r="L136" s="17">
        <f t="shared" si="33"/>
        <v>3.1154746317512361E-2</v>
      </c>
      <c r="M136" s="17">
        <f t="shared" si="33"/>
        <v>7.1201771336554032E-2</v>
      </c>
      <c r="N136" s="17">
        <f t="shared" si="33"/>
        <v>9.4786450662739385E-2</v>
      </c>
      <c r="O136" s="17">
        <f t="shared" si="33"/>
        <v>8.9317934782608299E-2</v>
      </c>
      <c r="P136" s="17">
        <f t="shared" si="33"/>
        <v>0.10235888888888911</v>
      </c>
      <c r="Q136" s="98"/>
      <c r="R136" s="110">
        <v>0.88887373164978778</v>
      </c>
      <c r="S136" s="111">
        <v>0.9621846147820351</v>
      </c>
      <c r="T136" s="111">
        <v>1.0297589538107366</v>
      </c>
      <c r="U136" s="111">
        <v>1.1159149694837023</v>
      </c>
      <c r="V136" s="111">
        <v>1.2297699891732827</v>
      </c>
      <c r="W136" s="111">
        <v>1.3299064743960713</v>
      </c>
      <c r="X136" s="111">
        <v>1.4486402447393634</v>
      </c>
      <c r="Z136" s="17">
        <f t="shared" si="37"/>
        <v>8.2476149898342843E-2</v>
      </c>
      <c r="AA136" s="17">
        <f t="shared" si="37"/>
        <v>7.0230117994569241E-2</v>
      </c>
      <c r="AB136" s="17">
        <f t="shared" si="37"/>
        <v>8.3666197175694235E-2</v>
      </c>
      <c r="AC136" s="17">
        <f t="shared" si="37"/>
        <v>0.10202840073223274</v>
      </c>
      <c r="AD136" s="17">
        <f t="shared" si="37"/>
        <v>8.1427003508278695E-2</v>
      </c>
      <c r="AE136" s="17">
        <f t="shared" si="37"/>
        <v>8.9279789691384615E-2</v>
      </c>
      <c r="AG136" s="110">
        <f t="shared" si="35"/>
        <v>0</v>
      </c>
      <c r="AH136" s="111">
        <f t="shared" si="35"/>
        <v>5.8424546279434053E-2</v>
      </c>
      <c r="AI136" s="111">
        <f t="shared" si="35"/>
        <v>2.2647026752931732E-2</v>
      </c>
      <c r="AJ136" s="111">
        <f t="shared" si="35"/>
        <v>1.142418106128229E-2</v>
      </c>
      <c r="AK136" s="111">
        <f t="shared" si="35"/>
        <v>4.4256381450085147E-3</v>
      </c>
      <c r="AL136" s="111">
        <f t="shared" si="35"/>
        <v>1.4524957472015432E-2</v>
      </c>
      <c r="AM136" s="111">
        <f t="shared" si="35"/>
        <v>3.3405694682038911E-2</v>
      </c>
      <c r="AO136" s="17">
        <f t="shared" si="36"/>
        <v>0</v>
      </c>
      <c r="AP136" s="17">
        <f t="shared" si="36"/>
        <v>6.072072384224203E-2</v>
      </c>
      <c r="AQ136" s="17">
        <f t="shared" si="36"/>
        <v>2.1992551430724649E-2</v>
      </c>
      <c r="AR136" s="17">
        <f t="shared" si="36"/>
        <v>1.0237501399025017E-2</v>
      </c>
      <c r="AS136" s="17">
        <f t="shared" si="36"/>
        <v>3.5987527618750459E-3</v>
      </c>
      <c r="AT136" s="17">
        <f t="shared" si="36"/>
        <v>1.0921788675862576E-2</v>
      </c>
      <c r="AU136" s="17">
        <f t="shared" si="36"/>
        <v>2.3060034955779685E-2</v>
      </c>
      <c r="AV136" s="72"/>
      <c r="AW136" s="72"/>
    </row>
    <row r="137" spans="2:49" x14ac:dyDescent="0.15">
      <c r="B137" s="20" t="s">
        <v>45</v>
      </c>
      <c r="C137" s="110">
        <v>1.0426858701909778</v>
      </c>
      <c r="D137" s="111">
        <v>0.91643992083616721</v>
      </c>
      <c r="E137" s="111">
        <v>0.96177399585320134</v>
      </c>
      <c r="F137" s="111">
        <v>1.0807765501290176</v>
      </c>
      <c r="G137" s="111">
        <v>1.2008903762928256</v>
      </c>
      <c r="H137" s="111">
        <v>1.3254540128205188</v>
      </c>
      <c r="I137" s="111">
        <v>1.4524965037403605</v>
      </c>
      <c r="K137" s="17">
        <f t="shared" si="33"/>
        <v>-0.12107764472888416</v>
      </c>
      <c r="L137" s="17">
        <f t="shared" si="33"/>
        <v>4.9467590822179552E-2</v>
      </c>
      <c r="M137" s="17">
        <f t="shared" si="33"/>
        <v>0.12373234750462103</v>
      </c>
      <c r="N137" s="17">
        <f t="shared" si="33"/>
        <v>0.11113659539473675</v>
      </c>
      <c r="O137" s="17">
        <f t="shared" si="33"/>
        <v>0.10372606774668625</v>
      </c>
      <c r="P137" s="17">
        <f t="shared" si="33"/>
        <v>9.5848282694847908E-2</v>
      </c>
      <c r="Q137" s="98"/>
      <c r="R137" s="110">
        <v>1.0426858701909778</v>
      </c>
      <c r="S137" s="111">
        <v>1.0002782434488779</v>
      </c>
      <c r="T137" s="111">
        <v>1.0945305650769379</v>
      </c>
      <c r="U137" s="111">
        <v>1.2547769559202433</v>
      </c>
      <c r="V137" s="111">
        <v>1.4253138665515401</v>
      </c>
      <c r="W137" s="111">
        <v>1.5997785843595038</v>
      </c>
      <c r="X137" s="111">
        <v>1.77522189348828</v>
      </c>
      <c r="Z137" s="17">
        <f t="shared" si="37"/>
        <v>-4.0671527211098124E-2</v>
      </c>
      <c r="AA137" s="17">
        <f t="shared" si="37"/>
        <v>9.4226103831955399E-2</v>
      </c>
      <c r="AB137" s="17">
        <f t="shared" si="37"/>
        <v>0.14640650152336421</v>
      </c>
      <c r="AC137" s="17">
        <f t="shared" si="37"/>
        <v>0.13591013911012295</v>
      </c>
      <c r="AD137" s="17">
        <f t="shared" si="37"/>
        <v>0.12240442045938305</v>
      </c>
      <c r="AE137" s="17">
        <f t="shared" si="37"/>
        <v>0.10966724448247178</v>
      </c>
      <c r="AG137" s="110">
        <f t="shared" si="35"/>
        <v>0</v>
      </c>
      <c r="AH137" s="111">
        <f t="shared" si="35"/>
        <v>-8.3838322612710736E-2</v>
      </c>
      <c r="AI137" s="111">
        <f t="shared" si="35"/>
        <v>-0.13275656922373658</v>
      </c>
      <c r="AJ137" s="111">
        <f t="shared" si="35"/>
        <v>-0.17400040579122567</v>
      </c>
      <c r="AK137" s="111">
        <f t="shared" si="35"/>
        <v>-0.22442349025871455</v>
      </c>
      <c r="AL137" s="111">
        <f t="shared" si="35"/>
        <v>-0.27432457153898504</v>
      </c>
      <c r="AM137" s="111">
        <f t="shared" si="35"/>
        <v>-0.32272538974791942</v>
      </c>
      <c r="AO137" s="17">
        <f t="shared" si="36"/>
        <v>0</v>
      </c>
      <c r="AP137" s="17">
        <f t="shared" si="36"/>
        <v>-8.3815001637587372E-2</v>
      </c>
      <c r="AQ137" s="17">
        <f t="shared" si="36"/>
        <v>-0.12129087433424457</v>
      </c>
      <c r="AR137" s="17">
        <f t="shared" si="36"/>
        <v>-0.13867038677293464</v>
      </c>
      <c r="AS137" s="17">
        <f t="shared" si="36"/>
        <v>-0.1574554878931288</v>
      </c>
      <c r="AT137" s="17">
        <f t="shared" si="36"/>
        <v>-0.17147658696082313</v>
      </c>
      <c r="AU137" s="17">
        <f t="shared" si="36"/>
        <v>-0.18179439479183623</v>
      </c>
      <c r="AV137" s="72"/>
      <c r="AW137" s="72"/>
    </row>
    <row r="138" spans="2:49" x14ac:dyDescent="0.15">
      <c r="B138" s="20" t="s">
        <v>46</v>
      </c>
      <c r="C138" s="110">
        <v>1.3345486775737465</v>
      </c>
      <c r="D138" s="111">
        <v>1.2782437206450217</v>
      </c>
      <c r="E138" s="111">
        <v>1.345939119271</v>
      </c>
      <c r="F138" s="111">
        <v>1.4335199464686337</v>
      </c>
      <c r="G138" s="111">
        <v>1.5561236261008193</v>
      </c>
      <c r="H138" s="111">
        <v>1.7258825671299998</v>
      </c>
      <c r="I138" s="111">
        <v>1.8767794036003824</v>
      </c>
      <c r="K138" s="17">
        <f t="shared" si="33"/>
        <v>-4.2190260928577805E-2</v>
      </c>
      <c r="L138" s="17">
        <f t="shared" si="33"/>
        <v>5.2959695817490937E-2</v>
      </c>
      <c r="M138" s="17">
        <f t="shared" si="33"/>
        <v>6.5070422535211003E-2</v>
      </c>
      <c r="N138" s="17">
        <f t="shared" si="33"/>
        <v>8.5526315789473673E-2</v>
      </c>
      <c r="O138" s="17">
        <f t="shared" si="33"/>
        <v>0.10909090909090913</v>
      </c>
      <c r="P138" s="17">
        <f t="shared" si="33"/>
        <v>8.7431693989071135E-2</v>
      </c>
      <c r="Q138" s="98"/>
      <c r="R138" s="110">
        <v>1.3345486775737465</v>
      </c>
      <c r="S138" s="111">
        <v>1.2629903629320787</v>
      </c>
      <c r="T138" s="111">
        <v>1.3296038308666116</v>
      </c>
      <c r="U138" s="111">
        <v>1.4447537989612496</v>
      </c>
      <c r="V138" s="111">
        <v>1.5665283330715774</v>
      </c>
      <c r="W138" s="111">
        <v>1.7274643682947524</v>
      </c>
      <c r="X138" s="111">
        <v>1.8543711351270289</v>
      </c>
      <c r="Z138" s="17">
        <f t="shared" si="37"/>
        <v>-5.3619861039286509E-2</v>
      </c>
      <c r="AA138" s="17">
        <f t="shared" si="37"/>
        <v>5.2742657338957999E-2</v>
      </c>
      <c r="AB138" s="17">
        <f t="shared" si="37"/>
        <v>8.6604720459917184E-2</v>
      </c>
      <c r="AC138" s="17">
        <f t="shared" si="37"/>
        <v>8.4287394985831821E-2</v>
      </c>
      <c r="AD138" s="17">
        <f t="shared" si="37"/>
        <v>0.10273420009430589</v>
      </c>
      <c r="AE138" s="17">
        <f t="shared" si="37"/>
        <v>7.3464187835927008E-2</v>
      </c>
      <c r="AG138" s="110">
        <f t="shared" si="35"/>
        <v>0</v>
      </c>
      <c r="AH138" s="111">
        <f t="shared" si="35"/>
        <v>1.5253357712943005E-2</v>
      </c>
      <c r="AI138" s="111">
        <f t="shared" si="35"/>
        <v>1.6335288404388359E-2</v>
      </c>
      <c r="AJ138" s="111">
        <f t="shared" si="35"/>
        <v>-1.1233852492615881E-2</v>
      </c>
      <c r="AK138" s="111">
        <f t="shared" si="35"/>
        <v>-1.0404706970758015E-2</v>
      </c>
      <c r="AL138" s="111">
        <f t="shared" si="35"/>
        <v>-1.5818011647525942E-3</v>
      </c>
      <c r="AM138" s="111">
        <f t="shared" si="35"/>
        <v>2.2408268473353532E-2</v>
      </c>
      <c r="AO138" s="17">
        <f t="shared" si="36"/>
        <v>0</v>
      </c>
      <c r="AP138" s="17">
        <f t="shared" si="36"/>
        <v>1.2077176644113008E-2</v>
      </c>
      <c r="AQ138" s="17">
        <f t="shared" si="36"/>
        <v>1.2285831331985131E-2</v>
      </c>
      <c r="AR138" s="17">
        <f t="shared" si="36"/>
        <v>-7.7756172025246206E-3</v>
      </c>
      <c r="AS138" s="17">
        <f t="shared" si="36"/>
        <v>-6.6418887875183685E-3</v>
      </c>
      <c r="AT138" s="17">
        <f t="shared" si="36"/>
        <v>-9.156780271618592E-4</v>
      </c>
      <c r="AU138" s="17">
        <f t="shared" si="36"/>
        <v>1.2084025710321633E-2</v>
      </c>
      <c r="AV138" s="72"/>
      <c r="AW138" s="72"/>
    </row>
    <row r="139" spans="2:49" x14ac:dyDescent="0.15">
      <c r="B139" s="20" t="s">
        <v>47</v>
      </c>
      <c r="C139" s="110">
        <v>1.3487874016562782</v>
      </c>
      <c r="D139" s="111">
        <v>1.3140921086944699</v>
      </c>
      <c r="E139" s="111">
        <v>1.3574373402753375</v>
      </c>
      <c r="F139" s="111">
        <v>1.4443302376354894</v>
      </c>
      <c r="G139" s="111">
        <v>1.5405966685582277</v>
      </c>
      <c r="H139" s="111">
        <v>1.6598556838273786</v>
      </c>
      <c r="I139" s="111">
        <v>1.7662139402002472</v>
      </c>
      <c r="K139" s="17">
        <f t="shared" si="33"/>
        <v>-2.5723322236850144E-2</v>
      </c>
      <c r="L139" s="17">
        <f t="shared" si="33"/>
        <v>3.2984926470588372E-2</v>
      </c>
      <c r="M139" s="17">
        <f t="shared" si="33"/>
        <v>6.4012455516014422E-2</v>
      </c>
      <c r="N139" s="17">
        <f t="shared" si="33"/>
        <v>6.6651260504201559E-2</v>
      </c>
      <c r="O139" s="17">
        <f t="shared" si="33"/>
        <v>7.7410926365795607E-2</v>
      </c>
      <c r="P139" s="17">
        <f t="shared" si="33"/>
        <v>6.4076809453471606E-2</v>
      </c>
      <c r="Q139" s="98"/>
      <c r="R139" s="110">
        <v>1.3487874016562782</v>
      </c>
      <c r="S139" s="111">
        <v>1.314932646631005</v>
      </c>
      <c r="T139" s="111">
        <v>1.3982204432593921</v>
      </c>
      <c r="U139" s="111">
        <v>1.5040538579254987</v>
      </c>
      <c r="V139" s="111">
        <v>1.6081272471481771</v>
      </c>
      <c r="W139" s="111">
        <v>1.7368033248134311</v>
      </c>
      <c r="X139" s="111">
        <v>1.8399665256995192</v>
      </c>
      <c r="Z139" s="17">
        <f t="shared" si="37"/>
        <v>-2.510014178935871E-2</v>
      </c>
      <c r="AA139" s="17">
        <f t="shared" si="37"/>
        <v>6.3339971702565334E-2</v>
      </c>
      <c r="AB139" s="17">
        <f t="shared" si="37"/>
        <v>7.5691508571708699E-2</v>
      </c>
      <c r="AC139" s="17">
        <f t="shared" si="37"/>
        <v>6.9195254328341615E-2</v>
      </c>
      <c r="AD139" s="17">
        <f t="shared" si="37"/>
        <v>8.0016104380698616E-2</v>
      </c>
      <c r="AE139" s="17">
        <f t="shared" si="37"/>
        <v>5.9398320703450969E-2</v>
      </c>
      <c r="AG139" s="110">
        <f t="shared" si="35"/>
        <v>0</v>
      </c>
      <c r="AH139" s="111">
        <f t="shared" si="35"/>
        <v>-8.4053793653504627E-4</v>
      </c>
      <c r="AI139" s="111">
        <f t="shared" si="35"/>
        <v>-4.0783102984054631E-2</v>
      </c>
      <c r="AJ139" s="111">
        <f t="shared" si="35"/>
        <v>-5.9723620290009327E-2</v>
      </c>
      <c r="AK139" s="111">
        <f t="shared" si="35"/>
        <v>-6.7530578589949375E-2</v>
      </c>
      <c r="AL139" s="111">
        <f t="shared" si="35"/>
        <v>-7.6947640986052557E-2</v>
      </c>
      <c r="AM139" s="111">
        <f t="shared" si="35"/>
        <v>-7.3752585499271994E-2</v>
      </c>
      <c r="AO139" s="17">
        <f t="shared" si="36"/>
        <v>0</v>
      </c>
      <c r="AP139" s="17">
        <f t="shared" si="36"/>
        <v>-6.3922508783142984E-4</v>
      </c>
      <c r="AQ139" s="17">
        <f t="shared" si="36"/>
        <v>-2.9167863465781596E-2</v>
      </c>
      <c r="AR139" s="17">
        <f t="shared" si="36"/>
        <v>-3.9708431965584379E-2</v>
      </c>
      <c r="AS139" s="17">
        <f t="shared" si="36"/>
        <v>-4.1993305386564983E-2</v>
      </c>
      <c r="AT139" s="17">
        <f t="shared" si="36"/>
        <v>-4.4304176464147638E-2</v>
      </c>
      <c r="AU139" s="17">
        <f t="shared" si="36"/>
        <v>-4.0083656125881273E-2</v>
      </c>
      <c r="AV139" s="72"/>
      <c r="AW139" s="72"/>
    </row>
    <row r="140" spans="2:49" x14ac:dyDescent="0.15">
      <c r="B140" s="20" t="s">
        <v>48</v>
      </c>
      <c r="C140" s="110">
        <v>1.0116673550222794</v>
      </c>
      <c r="D140" s="111">
        <v>0.94125232329725173</v>
      </c>
      <c r="E140" s="111">
        <v>0.97508887090454865</v>
      </c>
      <c r="F140" s="111">
        <v>1.0395143855893136</v>
      </c>
      <c r="G140" s="111">
        <v>1.095293206279472</v>
      </c>
      <c r="H140" s="111">
        <v>1.1612136307314778</v>
      </c>
      <c r="I140" s="111">
        <v>1.2254437878898419</v>
      </c>
      <c r="K140" s="17">
        <f t="shared" si="33"/>
        <v>-6.9602949403736569E-2</v>
      </c>
      <c r="L140" s="17">
        <f t="shared" si="33"/>
        <v>3.594843462246744E-2</v>
      </c>
      <c r="M140" s="17">
        <f t="shared" si="33"/>
        <v>6.6071428571428781E-2</v>
      </c>
      <c r="N140" s="17">
        <f t="shared" si="33"/>
        <v>5.3658536585365901E-2</v>
      </c>
      <c r="O140" s="17">
        <f t="shared" si="33"/>
        <v>6.0185185185185563E-2</v>
      </c>
      <c r="P140" s="17">
        <f t="shared" si="33"/>
        <v>5.5312954876273634E-2</v>
      </c>
      <c r="Q140" s="98"/>
      <c r="R140" s="110">
        <v>1.0116673550222794</v>
      </c>
      <c r="S140" s="111">
        <v>0.88570624674394383</v>
      </c>
      <c r="T140" s="111">
        <v>0.93753275824550164</v>
      </c>
      <c r="U140" s="111">
        <v>1.0158409620648705</v>
      </c>
      <c r="V140" s="111">
        <v>1.0922134417146432</v>
      </c>
      <c r="W140" s="111">
        <v>1.1647421908400739</v>
      </c>
      <c r="X140" s="111">
        <v>1.2423361699548279</v>
      </c>
      <c r="Z140" s="17">
        <f t="shared" si="37"/>
        <v>-0.12450842428889253</v>
      </c>
      <c r="AA140" s="17">
        <f t="shared" si="37"/>
        <v>5.8514334399338175E-2</v>
      </c>
      <c r="AB140" s="17">
        <f t="shared" si="37"/>
        <v>8.3525832170296521E-2</v>
      </c>
      <c r="AC140" s="17">
        <f t="shared" si="37"/>
        <v>7.5181531855668116E-2</v>
      </c>
      <c r="AD140" s="17">
        <f t="shared" si="37"/>
        <v>6.6405288888927494E-2</v>
      </c>
      <c r="AE140" s="17">
        <f t="shared" si="37"/>
        <v>6.6619016401208153E-2</v>
      </c>
      <c r="AG140" s="110">
        <f t="shared" si="35"/>
        <v>0</v>
      </c>
      <c r="AH140" s="111">
        <f t="shared" si="35"/>
        <v>5.5546076553307899E-2</v>
      </c>
      <c r="AI140" s="111">
        <f t="shared" si="35"/>
        <v>3.7556112659047014E-2</v>
      </c>
      <c r="AJ140" s="111">
        <f t="shared" si="35"/>
        <v>2.3673423524443127E-2</v>
      </c>
      <c r="AK140" s="111">
        <f t="shared" si="35"/>
        <v>3.0797645648288352E-3</v>
      </c>
      <c r="AL140" s="111">
        <f t="shared" si="35"/>
        <v>-3.528560108596146E-3</v>
      </c>
      <c r="AM140" s="111">
        <f t="shared" si="35"/>
        <v>-1.6892382064986E-2</v>
      </c>
      <c r="AO140" s="17">
        <f t="shared" si="36"/>
        <v>0</v>
      </c>
      <c r="AP140" s="17">
        <f t="shared" si="36"/>
        <v>6.2713881444900865E-2</v>
      </c>
      <c r="AQ140" s="17">
        <f t="shared" si="36"/>
        <v>4.0058453775342784E-2</v>
      </c>
      <c r="AR140" s="17">
        <f t="shared" si="36"/>
        <v>2.3304261600480158E-2</v>
      </c>
      <c r="AS140" s="17">
        <f t="shared" si="36"/>
        <v>2.8197460745347236E-3</v>
      </c>
      <c r="AT140" s="17">
        <f t="shared" si="36"/>
        <v>-3.0294773696238897E-3</v>
      </c>
      <c r="AU140" s="17">
        <f t="shared" si="36"/>
        <v>-1.3597271393619881E-2</v>
      </c>
      <c r="AV140" s="72"/>
      <c r="AW140" s="72"/>
    </row>
    <row r="141" spans="2:49" x14ac:dyDescent="0.15">
      <c r="B141" s="20" t="s">
        <v>49</v>
      </c>
      <c r="C141" s="110">
        <v>1.0770152789368417</v>
      </c>
      <c r="D141" s="111">
        <v>1.0905716914465917</v>
      </c>
      <c r="E141" s="111">
        <v>1.1456717546345265</v>
      </c>
      <c r="F141" s="111">
        <v>1.2290747724924886</v>
      </c>
      <c r="G141" s="111">
        <v>1.308823898951925</v>
      </c>
      <c r="H141" s="111">
        <v>1.3979552755830598</v>
      </c>
      <c r="I141" s="111">
        <v>1.4826253922575519</v>
      </c>
      <c r="K141" s="17">
        <f t="shared" si="33"/>
        <v>1.258701967824627E-2</v>
      </c>
      <c r="L141" s="17">
        <f t="shared" si="33"/>
        <v>5.0524017467248994E-2</v>
      </c>
      <c r="M141" s="17">
        <f t="shared" si="33"/>
        <v>7.2798353909464986E-2</v>
      </c>
      <c r="N141" s="17">
        <f t="shared" si="33"/>
        <v>6.4885496183206159E-2</v>
      </c>
      <c r="O141" s="17">
        <f t="shared" si="33"/>
        <v>6.8100358422939156E-2</v>
      </c>
      <c r="P141" s="17">
        <f t="shared" si="33"/>
        <v>6.0567114093959651E-2</v>
      </c>
      <c r="Q141" s="98"/>
      <c r="R141" s="110">
        <v>1.0770152789368417</v>
      </c>
      <c r="S141" s="111">
        <v>1.0477683212175204</v>
      </c>
      <c r="T141" s="111">
        <v>1.1201089041074612</v>
      </c>
      <c r="U141" s="111">
        <v>1.215092992003417</v>
      </c>
      <c r="V141" s="111">
        <v>1.3033569048939211</v>
      </c>
      <c r="W141" s="111">
        <v>1.3978606209794953</v>
      </c>
      <c r="X141" s="111">
        <v>1.4808605448217187</v>
      </c>
      <c r="Z141" s="17">
        <f t="shared" si="37"/>
        <v>-2.7155564355774042E-2</v>
      </c>
      <c r="AA141" s="17">
        <f t="shared" si="37"/>
        <v>6.9042536813749278E-2</v>
      </c>
      <c r="AB141" s="17">
        <f t="shared" si="37"/>
        <v>8.4798975838552115E-2</v>
      </c>
      <c r="AC141" s="17">
        <f t="shared" si="37"/>
        <v>7.2639636201815794E-2</v>
      </c>
      <c r="AD141" s="17">
        <f t="shared" si="37"/>
        <v>7.2507933729223373E-2</v>
      </c>
      <c r="AE141" s="17">
        <f t="shared" si="37"/>
        <v>5.937639461083366E-2</v>
      </c>
      <c r="AG141" s="110">
        <f t="shared" si="35"/>
        <v>0</v>
      </c>
      <c r="AH141" s="111">
        <f t="shared" si="35"/>
        <v>4.2803370229071325E-2</v>
      </c>
      <c r="AI141" s="111">
        <f t="shared" si="35"/>
        <v>2.5562850527065306E-2</v>
      </c>
      <c r="AJ141" s="111">
        <f t="shared" si="35"/>
        <v>1.3981780489071616E-2</v>
      </c>
      <c r="AK141" s="111">
        <f t="shared" si="35"/>
        <v>5.4669940580038823E-3</v>
      </c>
      <c r="AL141" s="111">
        <f t="shared" si="35"/>
        <v>9.4654603564503503E-5</v>
      </c>
      <c r="AM141" s="111">
        <f t="shared" si="35"/>
        <v>1.7648474358331612E-3</v>
      </c>
      <c r="AO141" s="17">
        <f t="shared" si="36"/>
        <v>0</v>
      </c>
      <c r="AP141" s="17">
        <f t="shared" si="36"/>
        <v>4.0851941562170202E-2</v>
      </c>
      <c r="AQ141" s="17">
        <f t="shared" si="36"/>
        <v>2.282175459308089E-2</v>
      </c>
      <c r="AR141" s="17">
        <f t="shared" si="36"/>
        <v>1.1506757574182735E-2</v>
      </c>
      <c r="AS141" s="17">
        <f t="shared" si="36"/>
        <v>4.1945487360186551E-3</v>
      </c>
      <c r="AT141" s="17">
        <f t="shared" si="36"/>
        <v>6.7713906625632703E-5</v>
      </c>
      <c r="AU141" s="17">
        <f t="shared" si="36"/>
        <v>1.191771529064356E-3</v>
      </c>
      <c r="AV141" s="72"/>
      <c r="AW141" s="72"/>
    </row>
    <row r="142" spans="2:49" x14ac:dyDescent="0.15">
      <c r="B142" s="20" t="s">
        <v>50</v>
      </c>
      <c r="C142" s="110">
        <v>0.44027870629061111</v>
      </c>
      <c r="D142" s="111">
        <v>0.47455794290189168</v>
      </c>
      <c r="E142" s="111">
        <v>0.49666064161239076</v>
      </c>
      <c r="F142" s="111">
        <v>0.5223569791014675</v>
      </c>
      <c r="G142" s="111">
        <v>0.54352756800258228</v>
      </c>
      <c r="H142" s="111">
        <v>0.56494308574918761</v>
      </c>
      <c r="I142" s="111">
        <v>0.58924365181350546</v>
      </c>
      <c r="K142" s="17">
        <f t="shared" si="33"/>
        <v>7.7858038832007814E-2</v>
      </c>
      <c r="L142" s="17">
        <f t="shared" si="33"/>
        <v>4.6575342465753566E-2</v>
      </c>
      <c r="M142" s="17">
        <f t="shared" si="33"/>
        <v>5.173821989528804E-2</v>
      </c>
      <c r="N142" s="17">
        <f t="shared" si="33"/>
        <v>4.0528967254407799E-2</v>
      </c>
      <c r="O142" s="17">
        <f t="shared" si="33"/>
        <v>3.9400977995109887E-2</v>
      </c>
      <c r="P142" s="17">
        <f t="shared" si="33"/>
        <v>4.301418439716298E-2</v>
      </c>
      <c r="Q142" s="98"/>
      <c r="R142" s="110">
        <v>0.44027870629061111</v>
      </c>
      <c r="S142" s="111">
        <v>0.47638464003352199</v>
      </c>
      <c r="T142" s="111">
        <v>0.50510403388891534</v>
      </c>
      <c r="U142" s="111">
        <v>0.53116797639904378</v>
      </c>
      <c r="V142" s="111">
        <v>0.56026741433758853</v>
      </c>
      <c r="W142" s="111">
        <v>0.58948383673043203</v>
      </c>
      <c r="X142" s="111">
        <v>0.61689494828932046</v>
      </c>
      <c r="Z142" s="17">
        <f t="shared" si="37"/>
        <v>8.2006995176093556E-2</v>
      </c>
      <c r="AA142" s="17">
        <f t="shared" si="37"/>
        <v>6.0286145777858069E-2</v>
      </c>
      <c r="AB142" s="17">
        <f t="shared" si="37"/>
        <v>5.1601137115172113E-2</v>
      </c>
      <c r="AC142" s="17">
        <f t="shared" si="37"/>
        <v>5.4783871075622992E-2</v>
      </c>
      <c r="AD142" s="17">
        <f t="shared" si="37"/>
        <v>5.2147281182480354E-2</v>
      </c>
      <c r="AE142" s="17">
        <f t="shared" si="37"/>
        <v>4.6500191949153225E-2</v>
      </c>
      <c r="AG142" s="110">
        <f t="shared" si="35"/>
        <v>0</v>
      </c>
      <c r="AH142" s="111">
        <f t="shared" si="35"/>
        <v>-1.826697131630306E-3</v>
      </c>
      <c r="AI142" s="111">
        <f t="shared" si="35"/>
        <v>-8.443392276524575E-3</v>
      </c>
      <c r="AJ142" s="111">
        <f t="shared" si="35"/>
        <v>-8.810997297576284E-3</v>
      </c>
      <c r="AK142" s="111">
        <f t="shared" si="35"/>
        <v>-1.6739846335006248E-2</v>
      </c>
      <c r="AL142" s="111">
        <f t="shared" si="35"/>
        <v>-2.4540750981244419E-2</v>
      </c>
      <c r="AM142" s="111">
        <f t="shared" si="35"/>
        <v>-2.765129647581499E-2</v>
      </c>
      <c r="AO142" s="17">
        <f t="shared" si="36"/>
        <v>0</v>
      </c>
      <c r="AP142" s="17">
        <f t="shared" si="36"/>
        <v>-3.8345004815893979E-3</v>
      </c>
      <c r="AQ142" s="17">
        <f t="shared" si="36"/>
        <v>-1.6716145011784755E-2</v>
      </c>
      <c r="AR142" s="17">
        <f t="shared" si="36"/>
        <v>-1.6587967816337201E-2</v>
      </c>
      <c r="AS142" s="17">
        <f t="shared" si="36"/>
        <v>-2.9878315080661966E-2</v>
      </c>
      <c r="AT142" s="17">
        <f t="shared" si="36"/>
        <v>-4.1630914118628848E-2</v>
      </c>
      <c r="AU142" s="17">
        <f t="shared" si="36"/>
        <v>-4.4823347236824351E-2</v>
      </c>
      <c r="AV142" s="72"/>
      <c r="AW142" s="72"/>
    </row>
    <row r="143" spans="2:49" x14ac:dyDescent="0.15">
      <c r="B143" s="20" t="s">
        <v>51</v>
      </c>
      <c r="C143" s="110">
        <v>0.46474814399597086</v>
      </c>
      <c r="D143" s="111">
        <v>0.37659771224175187</v>
      </c>
      <c r="E143" s="111">
        <v>0.39408133862450084</v>
      </c>
      <c r="F143" s="111">
        <v>0.44664991491900857</v>
      </c>
      <c r="G143" s="111">
        <v>0.49638924310960791</v>
      </c>
      <c r="H143" s="111">
        <v>0.54580053079997981</v>
      </c>
      <c r="I143" s="111">
        <v>0.60391088940600945</v>
      </c>
      <c r="K143" s="17">
        <f t="shared" si="33"/>
        <v>-0.18967355306960243</v>
      </c>
      <c r="L143" s="17">
        <f t="shared" si="33"/>
        <v>4.642520603398026E-2</v>
      </c>
      <c r="M143" s="17">
        <f t="shared" si="33"/>
        <v>0.13339524393109503</v>
      </c>
      <c r="N143" s="17">
        <f t="shared" si="33"/>
        <v>0.11136088137309641</v>
      </c>
      <c r="O143" s="17">
        <f t="shared" si="33"/>
        <v>9.9541415081513707E-2</v>
      </c>
      <c r="P143" s="17">
        <f t="shared" si="33"/>
        <v>0.10646812402482886</v>
      </c>
      <c r="Q143" s="98"/>
      <c r="R143" s="110">
        <v>0.46474814399597086</v>
      </c>
      <c r="S143" s="111">
        <v>0.42463903758024274</v>
      </c>
      <c r="T143" s="111">
        <v>0.46470317181789778</v>
      </c>
      <c r="U143" s="111">
        <v>0.52745383093999931</v>
      </c>
      <c r="V143" s="111">
        <v>0.58839290294525437</v>
      </c>
      <c r="W143" s="111">
        <v>0.65774190257318388</v>
      </c>
      <c r="X143" s="111">
        <v>0.72162071292370056</v>
      </c>
      <c r="Z143" s="17">
        <f t="shared" si="37"/>
        <v>-8.6302886700879156E-2</v>
      </c>
      <c r="AA143" s="17">
        <f t="shared" si="37"/>
        <v>9.4348683686634072E-2</v>
      </c>
      <c r="AB143" s="17">
        <f t="shared" si="37"/>
        <v>0.13503385155867087</v>
      </c>
      <c r="AC143" s="17">
        <f t="shared" si="37"/>
        <v>0.11553441918632523</v>
      </c>
      <c r="AD143" s="17">
        <f t="shared" si="37"/>
        <v>0.1178617200866916</v>
      </c>
      <c r="AE143" s="17">
        <f t="shared" si="37"/>
        <v>9.7118353111780298E-2</v>
      </c>
      <c r="AG143" s="110">
        <f t="shared" si="35"/>
        <v>0</v>
      </c>
      <c r="AH143" s="111">
        <f t="shared" si="35"/>
        <v>-4.804132533849087E-2</v>
      </c>
      <c r="AI143" s="111">
        <f t="shared" si="35"/>
        <v>-7.0621833193396932E-2</v>
      </c>
      <c r="AJ143" s="111">
        <f t="shared" si="35"/>
        <v>-8.080391602099074E-2</v>
      </c>
      <c r="AK143" s="111">
        <f t="shared" si="35"/>
        <v>-9.2003659835646456E-2</v>
      </c>
      <c r="AL143" s="111">
        <f t="shared" si="35"/>
        <v>-0.11194137177320407</v>
      </c>
      <c r="AM143" s="111">
        <f t="shared" si="35"/>
        <v>-0.1177098235176911</v>
      </c>
      <c r="AO143" s="17">
        <f t="shared" si="36"/>
        <v>0</v>
      </c>
      <c r="AP143" s="17">
        <f t="shared" si="36"/>
        <v>-0.1131345003329155</v>
      </c>
      <c r="AQ143" s="17">
        <f t="shared" si="36"/>
        <v>-0.15197191987549286</v>
      </c>
      <c r="AR143" s="17">
        <f t="shared" si="36"/>
        <v>-0.15319618757339659</v>
      </c>
      <c r="AS143" s="17">
        <f t="shared" si="36"/>
        <v>-0.15636432624376284</v>
      </c>
      <c r="AT143" s="17">
        <f t="shared" si="36"/>
        <v>-0.17019042170686227</v>
      </c>
      <c r="AU143" s="17">
        <f t="shared" si="36"/>
        <v>-0.16311868743454006</v>
      </c>
      <c r="AV143" s="72"/>
      <c r="AW143" s="72"/>
    </row>
    <row r="144" spans="2:49" x14ac:dyDescent="0.15">
      <c r="B144" s="20" t="s">
        <v>52</v>
      </c>
      <c r="C144" s="110">
        <v>0.53295906288688355</v>
      </c>
      <c r="D144" s="111">
        <v>0.43550745111576777</v>
      </c>
      <c r="E144" s="111">
        <v>0.46663816891774668</v>
      </c>
      <c r="F144" s="111">
        <v>0.4915580665696469</v>
      </c>
      <c r="G144" s="111">
        <v>0.51414477337695841</v>
      </c>
      <c r="H144" s="111">
        <v>0.54419400923600103</v>
      </c>
      <c r="I144" s="111">
        <v>0.57453088383429995</v>
      </c>
      <c r="K144" s="17">
        <f t="shared" si="33"/>
        <v>-0.18285008841626382</v>
      </c>
      <c r="L144" s="17">
        <f t="shared" si="33"/>
        <v>7.1481481481481257E-2</v>
      </c>
      <c r="M144" s="17">
        <f t="shared" si="33"/>
        <v>5.3403041825095032E-2</v>
      </c>
      <c r="N144" s="17">
        <f t="shared" si="33"/>
        <v>4.5949214026602236E-2</v>
      </c>
      <c r="O144" s="17">
        <f t="shared" si="33"/>
        <v>5.8445086705201765E-2</v>
      </c>
      <c r="P144" s="17">
        <f t="shared" si="33"/>
        <v>5.5746432491767361E-2</v>
      </c>
      <c r="Q144" s="98"/>
      <c r="R144" s="110">
        <v>0.53295906288688355</v>
      </c>
      <c r="S144" s="111">
        <v>0.51255216961398598</v>
      </c>
      <c r="T144" s="111">
        <v>0.55528482902744603</v>
      </c>
      <c r="U144" s="111">
        <v>0.59772353462207917</v>
      </c>
      <c r="V144" s="111">
        <v>0.63245709313590126</v>
      </c>
      <c r="W144" s="111">
        <v>0.66843631163555284</v>
      </c>
      <c r="X144" s="111">
        <v>0.70508533791419792</v>
      </c>
      <c r="Z144" s="17">
        <f t="shared" si="37"/>
        <v>-3.8289795021702822E-2</v>
      </c>
      <c r="AA144" s="17">
        <f t="shared" si="37"/>
        <v>8.3372312023657802E-2</v>
      </c>
      <c r="AB144" s="17">
        <f t="shared" si="37"/>
        <v>7.6426913497641191E-2</v>
      </c>
      <c r="AC144" s="17">
        <f t="shared" si="37"/>
        <v>5.8109738870802508E-2</v>
      </c>
      <c r="AD144" s="17">
        <f t="shared" si="37"/>
        <v>5.6887999028133907E-2</v>
      </c>
      <c r="AE144" s="17">
        <f t="shared" si="37"/>
        <v>5.4828000275704669E-2</v>
      </c>
      <c r="AG144" s="110">
        <f t="shared" si="35"/>
        <v>0</v>
      </c>
      <c r="AH144" s="111">
        <f t="shared" si="35"/>
        <v>-7.7044718498218201E-2</v>
      </c>
      <c r="AI144" s="111">
        <f t="shared" si="35"/>
        <v>-8.8646660109699349E-2</v>
      </c>
      <c r="AJ144" s="111">
        <f t="shared" si="35"/>
        <v>-0.10616546805243227</v>
      </c>
      <c r="AK144" s="111">
        <f t="shared" si="35"/>
        <v>-0.11831231975894285</v>
      </c>
      <c r="AL144" s="111">
        <f t="shared" si="35"/>
        <v>-0.12424230239955181</v>
      </c>
      <c r="AM144" s="111">
        <f t="shared" si="35"/>
        <v>-0.13055445407989796</v>
      </c>
      <c r="AO144" s="17">
        <f t="shared" si="36"/>
        <v>0</v>
      </c>
      <c r="AP144" s="17">
        <f t="shared" si="36"/>
        <v>-0.15031585673755365</v>
      </c>
      <c r="AQ144" s="17">
        <f t="shared" si="36"/>
        <v>-0.15964178287557329</v>
      </c>
      <c r="AR144" s="17">
        <f t="shared" si="36"/>
        <v>-0.17761634251118652</v>
      </c>
      <c r="AS144" s="17">
        <f t="shared" si="36"/>
        <v>-0.18706774110527702</v>
      </c>
      <c r="AT144" s="17">
        <f t="shared" si="36"/>
        <v>-0.18587006755445634</v>
      </c>
      <c r="AU144" s="17">
        <f t="shared" si="36"/>
        <v>-0.18516120965741201</v>
      </c>
      <c r="AV144" s="72"/>
      <c r="AW144" s="72"/>
    </row>
    <row r="145" spans="2:49" x14ac:dyDescent="0.15">
      <c r="B145" s="20" t="s">
        <v>53</v>
      </c>
      <c r="C145" s="110">
        <v>0.28250605934137285</v>
      </c>
      <c r="D145" s="111">
        <v>0.24792297143092201</v>
      </c>
      <c r="E145" s="111">
        <v>0.20702891546713825</v>
      </c>
      <c r="F145" s="111">
        <v>0.2441642033204644</v>
      </c>
      <c r="G145" s="111">
        <v>0.29214629763152422</v>
      </c>
      <c r="H145" s="111">
        <v>0.31706465831186015</v>
      </c>
      <c r="I145" s="111">
        <v>0.34198301899219602</v>
      </c>
      <c r="K145" s="17">
        <f t="shared" si="33"/>
        <v>-0.1224153846153847</v>
      </c>
      <c r="L145" s="17">
        <f t="shared" si="33"/>
        <v>-0.16494661921708187</v>
      </c>
      <c r="M145" s="17">
        <f t="shared" si="33"/>
        <v>0.17937246963562758</v>
      </c>
      <c r="N145" s="17">
        <f t="shared" si="33"/>
        <v>0.19651567944250847</v>
      </c>
      <c r="O145" s="17">
        <f t="shared" si="33"/>
        <v>8.5294117647058965E-2</v>
      </c>
      <c r="P145" s="17">
        <f t="shared" si="33"/>
        <v>7.8590785907858951E-2</v>
      </c>
      <c r="Q145" s="98"/>
      <c r="R145" s="110">
        <v>0.28250605934137285</v>
      </c>
      <c r="S145" s="111">
        <v>0.2595359282998117</v>
      </c>
      <c r="T145" s="111">
        <v>0.27450266563938774</v>
      </c>
      <c r="U145" s="111">
        <v>0.29282803204633312</v>
      </c>
      <c r="V145" s="111">
        <v>0.31408831495078882</v>
      </c>
      <c r="W145" s="111">
        <v>0.33879230007732497</v>
      </c>
      <c r="X145" s="111">
        <v>0.36242494601993941</v>
      </c>
      <c r="Z145" s="17">
        <f t="shared" si="37"/>
        <v>-8.130845439249379E-2</v>
      </c>
      <c r="AA145" s="17">
        <f t="shared" si="37"/>
        <v>5.766730424423816E-2</v>
      </c>
      <c r="AB145" s="17">
        <f t="shared" si="37"/>
        <v>6.6758427879965554E-2</v>
      </c>
      <c r="AC145" s="17">
        <f t="shared" si="37"/>
        <v>7.260330493595557E-2</v>
      </c>
      <c r="AD145" s="17">
        <f t="shared" si="37"/>
        <v>7.8652990100592346E-2</v>
      </c>
      <c r="AE145" s="17">
        <f t="shared" si="37"/>
        <v>6.9755558013628427E-2</v>
      </c>
      <c r="AG145" s="110">
        <f t="shared" si="35"/>
        <v>0</v>
      </c>
      <c r="AH145" s="111">
        <f t="shared" si="35"/>
        <v>-1.161295686888969E-2</v>
      </c>
      <c r="AI145" s="111">
        <f t="shared" si="35"/>
        <v>-6.7473750172249491E-2</v>
      </c>
      <c r="AJ145" s="111">
        <f t="shared" si="35"/>
        <v>-4.8663828725868719E-2</v>
      </c>
      <c r="AK145" s="111">
        <f t="shared" si="35"/>
        <v>-2.1942017319264595E-2</v>
      </c>
      <c r="AL145" s="111">
        <f t="shared" si="35"/>
        <v>-2.1727641765464822E-2</v>
      </c>
      <c r="AM145" s="111">
        <f t="shared" si="35"/>
        <v>-2.044192702774339E-2</v>
      </c>
      <c r="AO145" s="17">
        <f t="shared" si="36"/>
        <v>0</v>
      </c>
      <c r="AP145" s="17">
        <f t="shared" si="36"/>
        <v>-4.4745083830838972E-2</v>
      </c>
      <c r="AQ145" s="17">
        <f t="shared" si="36"/>
        <v>-0.24580362458443039</v>
      </c>
      <c r="AR145" s="17">
        <f t="shared" si="36"/>
        <v>-0.1661856905768121</v>
      </c>
      <c r="AS145" s="17">
        <f t="shared" si="36"/>
        <v>-6.9859387550608054E-2</v>
      </c>
      <c r="AT145" s="17">
        <f t="shared" si="36"/>
        <v>-6.4132631587275668E-2</v>
      </c>
      <c r="AU145" s="17">
        <f t="shared" si="36"/>
        <v>-5.6403200861948277E-2</v>
      </c>
      <c r="AV145" s="72"/>
      <c r="AW145" s="72"/>
    </row>
    <row r="146" spans="2:49" x14ac:dyDescent="0.15">
      <c r="B146" s="20" t="s">
        <v>19</v>
      </c>
      <c r="C146" s="110">
        <v>3.7385925544218321</v>
      </c>
      <c r="D146" s="111">
        <v>3.0184989260212478</v>
      </c>
      <c r="E146" s="111">
        <v>3.1589561900441785</v>
      </c>
      <c r="F146" s="111">
        <v>3.3728285437247867</v>
      </c>
      <c r="G146" s="111">
        <v>3.607144670102044</v>
      </c>
      <c r="H146" s="111">
        <v>3.8182010071824823</v>
      </c>
      <c r="I146" s="111">
        <v>4.0182020123206126</v>
      </c>
      <c r="K146" s="17">
        <f t="shared" si="33"/>
        <v>-0.19261088709677421</v>
      </c>
      <c r="L146" s="17">
        <f t="shared" si="33"/>
        <v>4.6532156368221944E-2</v>
      </c>
      <c r="M146" s="17">
        <f t="shared" si="33"/>
        <v>6.7703488372093279E-2</v>
      </c>
      <c r="N146" s="17">
        <f t="shared" si="33"/>
        <v>6.9471698113207303E-2</v>
      </c>
      <c r="O146" s="17">
        <f t="shared" si="33"/>
        <v>5.8510638297872175E-2</v>
      </c>
      <c r="P146" s="17">
        <f t="shared" si="33"/>
        <v>5.2380952380952417E-2</v>
      </c>
      <c r="Q146" s="98"/>
      <c r="R146" s="110">
        <v>3.7385925544218321</v>
      </c>
      <c r="S146" s="111">
        <v>2.5756620326648156</v>
      </c>
      <c r="T146" s="111">
        <v>2.6997491067979751</v>
      </c>
      <c r="U146" s="111">
        <v>2.9112567054929519</v>
      </c>
      <c r="V146" s="111">
        <v>3.177633550655671</v>
      </c>
      <c r="W146" s="111">
        <v>3.4186904831820195</v>
      </c>
      <c r="X146" s="111">
        <v>3.6238540085753139</v>
      </c>
      <c r="Z146" s="17">
        <f t="shared" si="37"/>
        <v>-0.31106104899865505</v>
      </c>
      <c r="AA146" s="17">
        <f t="shared" si="37"/>
        <v>4.8176768752838717E-2</v>
      </c>
      <c r="AB146" s="17">
        <f t="shared" si="37"/>
        <v>7.8343427603105864E-2</v>
      </c>
      <c r="AC146" s="17">
        <f t="shared" si="37"/>
        <v>9.1498920263582306E-2</v>
      </c>
      <c r="AD146" s="17">
        <f t="shared" si="37"/>
        <v>7.586051968661045E-2</v>
      </c>
      <c r="AE146" s="17">
        <f t="shared" si="37"/>
        <v>6.001231360445769E-2</v>
      </c>
      <c r="AG146" s="110">
        <f t="shared" si="35"/>
        <v>0</v>
      </c>
      <c r="AH146" s="111">
        <f t="shared" si="35"/>
        <v>0.44283689335643217</v>
      </c>
      <c r="AI146" s="111">
        <f t="shared" si="35"/>
        <v>0.45920708324620341</v>
      </c>
      <c r="AJ146" s="111">
        <f t="shared" si="35"/>
        <v>0.46157183823183479</v>
      </c>
      <c r="AK146" s="111">
        <f t="shared" si="35"/>
        <v>0.42951111944637299</v>
      </c>
      <c r="AL146" s="111">
        <f t="shared" si="35"/>
        <v>0.39951052400046283</v>
      </c>
      <c r="AM146" s="111">
        <f t="shared" si="35"/>
        <v>0.39434800374529866</v>
      </c>
      <c r="AO146" s="17">
        <f t="shared" si="36"/>
        <v>0</v>
      </c>
      <c r="AP146" s="17">
        <f t="shared" si="36"/>
        <v>0.17193128902019295</v>
      </c>
      <c r="AQ146" s="17">
        <f t="shared" si="36"/>
        <v>0.17009250307368151</v>
      </c>
      <c r="AR146" s="17">
        <f t="shared" si="36"/>
        <v>0.15854728212766056</v>
      </c>
      <c r="AS146" s="17">
        <f t="shared" si="36"/>
        <v>0.13516697649348153</v>
      </c>
      <c r="AT146" s="17">
        <f t="shared" si="36"/>
        <v>0.11686068860747234</v>
      </c>
      <c r="AU146" s="17">
        <f t="shared" si="36"/>
        <v>0.10882005809619599</v>
      </c>
      <c r="AV146" s="72"/>
      <c r="AW146" s="72"/>
    </row>
    <row r="147" spans="2:49" x14ac:dyDescent="0.15">
      <c r="B147" s="20" t="s">
        <v>18</v>
      </c>
      <c r="C147" s="110">
        <v>4.8630585924710452</v>
      </c>
      <c r="D147" s="111">
        <v>5.3538698436953656</v>
      </c>
      <c r="E147" s="111">
        <v>5.5964551762813119</v>
      </c>
      <c r="F147" s="111">
        <v>5.8442714121807233</v>
      </c>
      <c r="G147" s="111">
        <v>6.1062523888891356</v>
      </c>
      <c r="H147" s="111">
        <v>6.3465535749805237</v>
      </c>
      <c r="I147" s="111">
        <v>6.5688001178863731</v>
      </c>
      <c r="K147" s="17">
        <f t="shared" si="33"/>
        <v>0.10092645233273378</v>
      </c>
      <c r="L147" s="17">
        <f t="shared" si="33"/>
        <v>4.5310278297409745E-2</v>
      </c>
      <c r="M147" s="17">
        <f t="shared" si="33"/>
        <v>4.428092928353955E-2</v>
      </c>
      <c r="N147" s="17">
        <f t="shared" si="33"/>
        <v>4.4826969562431263E-2</v>
      </c>
      <c r="O147" s="17">
        <f t="shared" si="33"/>
        <v>3.9353300647814171E-2</v>
      </c>
      <c r="P147" s="17">
        <f t="shared" si="33"/>
        <v>3.5018461639084286E-2</v>
      </c>
      <c r="Q147" s="98"/>
      <c r="R147" s="110">
        <v>4.8630585924710452</v>
      </c>
      <c r="S147" s="111">
        <v>5.1609760720151856</v>
      </c>
      <c r="T147" s="111">
        <v>5.3821634030066576</v>
      </c>
      <c r="U147" s="111">
        <v>5.6509385437348962</v>
      </c>
      <c r="V147" s="111">
        <v>5.9326591581984847</v>
      </c>
      <c r="W147" s="111">
        <v>6.152230063658175</v>
      </c>
      <c r="X147" s="111">
        <v>6.3999654733584261</v>
      </c>
      <c r="Z147" s="17">
        <f t="shared" si="37"/>
        <v>6.1261338698524792E-2</v>
      </c>
      <c r="AA147" s="17">
        <f t="shared" si="37"/>
        <v>4.2857654812785473E-2</v>
      </c>
      <c r="AB147" s="17">
        <f t="shared" si="37"/>
        <v>4.9938123502176079E-2</v>
      </c>
      <c r="AC147" s="17">
        <f t="shared" si="37"/>
        <v>4.9853774250637972E-2</v>
      </c>
      <c r="AD147" s="17">
        <f t="shared" si="37"/>
        <v>3.7010537704034396E-2</v>
      </c>
      <c r="AE147" s="17">
        <f t="shared" si="37"/>
        <v>4.0267578932661863E-2</v>
      </c>
      <c r="AG147" s="110">
        <f t="shared" si="35"/>
        <v>0</v>
      </c>
      <c r="AH147" s="111">
        <f t="shared" si="35"/>
        <v>0.19289377168017996</v>
      </c>
      <c r="AI147" s="111">
        <f t="shared" si="35"/>
        <v>0.21429177327465432</v>
      </c>
      <c r="AJ147" s="111">
        <f t="shared" si="35"/>
        <v>0.19333286844582709</v>
      </c>
      <c r="AK147" s="111">
        <f t="shared" si="35"/>
        <v>0.17359323069065091</v>
      </c>
      <c r="AL147" s="111">
        <f t="shared" si="35"/>
        <v>0.19432351132234871</v>
      </c>
      <c r="AM147" s="111">
        <f t="shared" si="35"/>
        <v>0.16883464452794694</v>
      </c>
      <c r="AO147" s="17">
        <f t="shared" si="36"/>
        <v>0</v>
      </c>
      <c r="AP147" s="17">
        <f t="shared" si="36"/>
        <v>3.7375443906071393E-2</v>
      </c>
      <c r="AQ147" s="17">
        <f t="shared" si="36"/>
        <v>3.9815174164898659E-2</v>
      </c>
      <c r="AR147" s="17">
        <f t="shared" si="36"/>
        <v>3.4212523627632052E-2</v>
      </c>
      <c r="AS147" s="17">
        <f t="shared" si="36"/>
        <v>2.9260610809026311E-2</v>
      </c>
      <c r="AT147" s="17">
        <f t="shared" si="36"/>
        <v>3.1585865501070343E-2</v>
      </c>
      <c r="AU147" s="17">
        <f t="shared" si="36"/>
        <v>2.6380555524989413E-2</v>
      </c>
      <c r="AV147" s="72"/>
      <c r="AW147" s="72"/>
    </row>
    <row r="148" spans="2:49" x14ac:dyDescent="0.15">
      <c r="B148" s="54" t="s">
        <v>54</v>
      </c>
      <c r="C148" s="110">
        <v>3.7422157017271243</v>
      </c>
      <c r="D148" s="111">
        <v>4.0483942274725679</v>
      </c>
      <c r="E148" s="111">
        <v>4.2511950544654526</v>
      </c>
      <c r="F148" s="111">
        <v>4.4510805650776231</v>
      </c>
      <c r="G148" s="111">
        <v>4.6548302615877262</v>
      </c>
      <c r="H148" s="111">
        <v>4.8631747685958642</v>
      </c>
      <c r="I148" s="111">
        <v>5.0379729158970337</v>
      </c>
      <c r="K148" s="17">
        <f t="shared" si="33"/>
        <v>8.1817444570107201E-2</v>
      </c>
      <c r="L148" s="17">
        <f t="shared" si="33"/>
        <v>5.0094139947308047E-2</v>
      </c>
      <c r="M148" s="17">
        <f t="shared" si="33"/>
        <v>4.701866370544705E-2</v>
      </c>
      <c r="N148" s="17">
        <f t="shared" si="33"/>
        <v>4.5775333322134459E-2</v>
      </c>
      <c r="O148" s="17">
        <f t="shared" si="33"/>
        <v>4.4758776432177294E-2</v>
      </c>
      <c r="P148" s="17">
        <f t="shared" si="33"/>
        <v>3.5943217264149174E-2</v>
      </c>
      <c r="Q148" s="98"/>
      <c r="R148" s="110">
        <v>3.7422157017271243</v>
      </c>
      <c r="S148" s="111">
        <v>3.9642457483085729</v>
      </c>
      <c r="T148" s="111">
        <v>4.1354870184200978</v>
      </c>
      <c r="U148" s="111">
        <v>4.3387030740391008</v>
      </c>
      <c r="V148" s="111">
        <v>4.5511310286997162</v>
      </c>
      <c r="W148" s="111">
        <v>4.7451395035801518</v>
      </c>
      <c r="X148" s="111">
        <v>4.9549988432314214</v>
      </c>
      <c r="Z148" s="17">
        <f t="shared" si="37"/>
        <v>5.9331172834044876E-2</v>
      </c>
      <c r="AA148" s="17">
        <f t="shared" si="37"/>
        <v>4.3196431549327841E-2</v>
      </c>
      <c r="AB148" s="17">
        <f t="shared" si="37"/>
        <v>4.91395704336266E-2</v>
      </c>
      <c r="AC148" s="17">
        <f t="shared" si="37"/>
        <v>4.8961164439136562E-2</v>
      </c>
      <c r="AD148" s="17">
        <f t="shared" si="37"/>
        <v>4.2628628720422723E-2</v>
      </c>
      <c r="AE148" s="17">
        <f t="shared" si="37"/>
        <v>4.4226168586388948E-2</v>
      </c>
      <c r="AG148" s="110">
        <f t="shared" si="35"/>
        <v>0</v>
      </c>
      <c r="AH148" s="111">
        <f t="shared" si="35"/>
        <v>8.4148479163995038E-2</v>
      </c>
      <c r="AI148" s="111">
        <f t="shared" si="35"/>
        <v>0.11570803604535485</v>
      </c>
      <c r="AJ148" s="111">
        <f t="shared" si="35"/>
        <v>0.11237749103852224</v>
      </c>
      <c r="AK148" s="111">
        <f t="shared" si="35"/>
        <v>0.10369923288800997</v>
      </c>
      <c r="AL148" s="111">
        <f t="shared" si="35"/>
        <v>0.11803526501571238</v>
      </c>
      <c r="AM148" s="111">
        <f t="shared" si="35"/>
        <v>8.2974072665612297E-2</v>
      </c>
      <c r="AO148" s="17">
        <f t="shared" si="36"/>
        <v>0</v>
      </c>
      <c r="AP148" s="17">
        <f t="shared" si="36"/>
        <v>2.1226857391446696E-2</v>
      </c>
      <c r="AQ148" s="17">
        <f t="shared" si="36"/>
        <v>2.7979300994048106E-2</v>
      </c>
      <c r="AR148" s="17">
        <f t="shared" si="36"/>
        <v>2.5901171184296912E-2</v>
      </c>
      <c r="AS148" s="17">
        <f t="shared" si="36"/>
        <v>2.2785376257918433E-2</v>
      </c>
      <c r="AT148" s="17">
        <f t="shared" si="36"/>
        <v>2.4874983112015192E-2</v>
      </c>
      <c r="AU148" s="17">
        <f t="shared" si="36"/>
        <v>1.6745528160708956E-2</v>
      </c>
    </row>
    <row r="149" spans="2:49" x14ac:dyDescent="0.15">
      <c r="B149" s="54" t="s">
        <v>55</v>
      </c>
      <c r="C149" s="110">
        <v>1.1208428907439201</v>
      </c>
      <c r="D149" s="111">
        <v>1.3054756162227974</v>
      </c>
      <c r="E149" s="111">
        <v>1.3452601218158593</v>
      </c>
      <c r="F149" s="111">
        <v>1.3931908471031005</v>
      </c>
      <c r="G149" s="111">
        <v>1.4514221273014087</v>
      </c>
      <c r="H149" s="111">
        <v>1.4833788063846598</v>
      </c>
      <c r="I149" s="111">
        <v>1.5308272019893396</v>
      </c>
      <c r="K149" s="17">
        <f t="shared" si="33"/>
        <v>0.1647266775777414</v>
      </c>
      <c r="L149" s="17">
        <f t="shared" si="33"/>
        <v>3.047510432111511E-2</v>
      </c>
      <c r="M149" s="17">
        <f t="shared" si="33"/>
        <v>3.5629336297089864E-2</v>
      </c>
      <c r="N149" s="17">
        <f t="shared" si="33"/>
        <v>4.1797059117485658E-2</v>
      </c>
      <c r="O149" s="17">
        <f t="shared" si="33"/>
        <v>2.2017494760581569E-2</v>
      </c>
      <c r="P149" s="17">
        <f t="shared" si="33"/>
        <v>3.198670184612018E-2</v>
      </c>
      <c r="Q149" s="98"/>
      <c r="R149" s="110">
        <v>1.1208428907439201</v>
      </c>
      <c r="S149" s="111">
        <v>1.1967303237066125</v>
      </c>
      <c r="T149" s="111">
        <v>1.2466763845865596</v>
      </c>
      <c r="U149" s="111">
        <v>1.3122354696957952</v>
      </c>
      <c r="V149" s="111">
        <v>1.3815281294987685</v>
      </c>
      <c r="W149" s="111">
        <v>1.407090560078023</v>
      </c>
      <c r="X149" s="111">
        <v>1.4449666301270048</v>
      </c>
      <c r="Z149" s="17">
        <f t="shared" si="37"/>
        <v>6.7705682562098302E-2</v>
      </c>
      <c r="AA149" s="17">
        <f t="shared" si="37"/>
        <v>4.1735435202519211E-2</v>
      </c>
      <c r="AB149" s="17">
        <f t="shared" si="37"/>
        <v>5.258709150167884E-2</v>
      </c>
      <c r="AC149" s="17">
        <f t="shared" si="37"/>
        <v>5.28050501630144E-2</v>
      </c>
      <c r="AD149" s="17">
        <f t="shared" si="37"/>
        <v>1.8503011291220561E-2</v>
      </c>
      <c r="AE149" s="17">
        <f t="shared" si="37"/>
        <v>2.6918004514849159E-2</v>
      </c>
      <c r="AG149" s="110">
        <f t="shared" si="35"/>
        <v>0</v>
      </c>
      <c r="AH149" s="111">
        <f t="shared" si="35"/>
        <v>0.10874529251618492</v>
      </c>
      <c r="AI149" s="111">
        <f t="shared" si="35"/>
        <v>9.8583737229299695E-2</v>
      </c>
      <c r="AJ149" s="111">
        <f t="shared" si="35"/>
        <v>8.0955377407305296E-2</v>
      </c>
      <c r="AK149" s="111">
        <f t="shared" si="35"/>
        <v>6.9893997802640273E-2</v>
      </c>
      <c r="AL149" s="111">
        <f t="shared" si="35"/>
        <v>7.6288246306636776E-2</v>
      </c>
      <c r="AM149" s="111">
        <f t="shared" si="35"/>
        <v>8.5860571862334867E-2</v>
      </c>
      <c r="AO149" s="17">
        <f t="shared" si="36"/>
        <v>0</v>
      </c>
      <c r="AP149" s="17">
        <f t="shared" si="36"/>
        <v>9.086866970945473E-2</v>
      </c>
      <c r="AQ149" s="17">
        <f t="shared" si="36"/>
        <v>7.9077247670808593E-2</v>
      </c>
      <c r="AR149" s="17">
        <f t="shared" si="36"/>
        <v>6.1692721525102856E-2</v>
      </c>
      <c r="AS149" s="17">
        <f t="shared" si="36"/>
        <v>5.0591802157512689E-2</v>
      </c>
      <c r="AT149" s="17">
        <f t="shared" si="36"/>
        <v>5.4217012373678708E-2</v>
      </c>
      <c r="AU149" s="17">
        <f t="shared" si="36"/>
        <v>5.9420453090178516E-2</v>
      </c>
      <c r="AV149" s="72"/>
      <c r="AW149" s="72"/>
    </row>
    <row r="150" spans="2:49" x14ac:dyDescent="0.15">
      <c r="B150" s="20" t="s">
        <v>56</v>
      </c>
      <c r="C150" s="110">
        <v>5.4880128776279014</v>
      </c>
      <c r="D150" s="111">
        <v>5.3669179463065193</v>
      </c>
      <c r="E150" s="111">
        <v>5.7109292971107326</v>
      </c>
      <c r="F150" s="111">
        <v>6.0606108129706593</v>
      </c>
      <c r="G150" s="111">
        <v>6.4191176702407331</v>
      </c>
      <c r="H150" s="111">
        <v>6.6689143473817545</v>
      </c>
      <c r="I150" s="111">
        <v>6.9993640758765956</v>
      </c>
      <c r="K150" s="17">
        <f t="shared" si="33"/>
        <v>-2.2065351161078772E-2</v>
      </c>
      <c r="L150" s="17">
        <f t="shared" si="33"/>
        <v>6.4098492700258136E-2</v>
      </c>
      <c r="M150" s="17">
        <f t="shared" si="33"/>
        <v>6.1230230259869733E-2</v>
      </c>
      <c r="N150" s="17">
        <f t="shared" si="33"/>
        <v>5.915358506486057E-2</v>
      </c>
      <c r="O150" s="17">
        <f t="shared" si="33"/>
        <v>3.8914487936416498E-2</v>
      </c>
      <c r="P150" s="17">
        <f t="shared" si="33"/>
        <v>4.9550753133390746E-2</v>
      </c>
      <c r="Q150" s="98"/>
      <c r="R150" s="110">
        <v>5.4880128776279014</v>
      </c>
      <c r="S150" s="111">
        <v>5.3877457165480269</v>
      </c>
      <c r="T150" s="111">
        <v>5.7393259906837644</v>
      </c>
      <c r="U150" s="111">
        <v>6.0520245563878712</v>
      </c>
      <c r="V150" s="111">
        <v>6.4513957131258035</v>
      </c>
      <c r="W150" s="111">
        <v>6.7000428713435483</v>
      </c>
      <c r="X150" s="111">
        <v>6.9778010271932551</v>
      </c>
      <c r="Z150" s="17">
        <f t="shared" si="37"/>
        <v>-1.8270212427637933E-2</v>
      </c>
      <c r="AA150" s="17">
        <f t="shared" si="37"/>
        <v>6.5255543344572953E-2</v>
      </c>
      <c r="AB150" s="17">
        <f t="shared" si="37"/>
        <v>5.4483499667328239E-2</v>
      </c>
      <c r="AC150" s="17">
        <f t="shared" si="37"/>
        <v>6.5989678828450637E-2</v>
      </c>
      <c r="AD150" s="17">
        <f t="shared" si="37"/>
        <v>3.8541607006349787E-2</v>
      </c>
      <c r="AE150" s="17">
        <f t="shared" si="37"/>
        <v>4.1456175905633996E-2</v>
      </c>
      <c r="AG150" s="110">
        <f t="shared" si="35"/>
        <v>0</v>
      </c>
      <c r="AH150" s="111">
        <f t="shared" si="35"/>
        <v>-2.0827770241507615E-2</v>
      </c>
      <c r="AI150" s="111">
        <f t="shared" si="35"/>
        <v>-2.8396693573031762E-2</v>
      </c>
      <c r="AJ150" s="111">
        <f t="shared" si="35"/>
        <v>8.5862565827881099E-3</v>
      </c>
      <c r="AK150" s="111">
        <f t="shared" si="35"/>
        <v>-3.2278042885070413E-2</v>
      </c>
      <c r="AL150" s="111">
        <f t="shared" si="35"/>
        <v>-3.1128523961793775E-2</v>
      </c>
      <c r="AM150" s="111">
        <f t="shared" si="35"/>
        <v>2.1563048683340469E-2</v>
      </c>
      <c r="AO150" s="17">
        <f t="shared" si="36"/>
        <v>0</v>
      </c>
      <c r="AP150" s="17">
        <f t="shared" si="36"/>
        <v>-3.8657671199174848E-3</v>
      </c>
      <c r="AQ150" s="17">
        <f t="shared" si="36"/>
        <v>-4.9477401386723852E-3</v>
      </c>
      <c r="AR150" s="17">
        <f t="shared" si="36"/>
        <v>1.418741200203133E-3</v>
      </c>
      <c r="AS150" s="17">
        <f t="shared" si="36"/>
        <v>-5.0032650794306077E-3</v>
      </c>
      <c r="AT150" s="17">
        <f t="shared" si="36"/>
        <v>-4.6460186239900558E-3</v>
      </c>
      <c r="AU150" s="17">
        <f t="shared" si="36"/>
        <v>3.0902355339894605E-3</v>
      </c>
    </row>
    <row r="151" spans="2:49" ht="4" customHeight="1" x14ac:dyDescent="0.15">
      <c r="C151" s="36"/>
      <c r="D151" s="37"/>
      <c r="E151" s="37"/>
      <c r="F151" s="37"/>
      <c r="G151" s="37"/>
      <c r="H151" s="37"/>
      <c r="I151" s="37"/>
      <c r="K151" s="56"/>
      <c r="L151" s="56"/>
      <c r="M151" s="56"/>
      <c r="N151" s="56"/>
      <c r="O151" s="56"/>
      <c r="P151" s="56"/>
      <c r="R151" s="36"/>
      <c r="S151" s="37"/>
      <c r="T151" s="37"/>
      <c r="U151" s="37"/>
      <c r="V151" s="37"/>
      <c r="W151" s="37"/>
      <c r="X151" s="37"/>
      <c r="Z151" s="56"/>
      <c r="AA151" s="56"/>
      <c r="AB151" s="56"/>
      <c r="AC151" s="56"/>
      <c r="AD151" s="56"/>
      <c r="AE151" s="56"/>
      <c r="AG151" s="36"/>
      <c r="AH151" s="37"/>
      <c r="AI151" s="37"/>
      <c r="AJ151" s="37"/>
      <c r="AK151" s="37"/>
      <c r="AL151" s="37"/>
      <c r="AM151" s="37"/>
      <c r="AO151" s="56"/>
      <c r="AP151" s="56"/>
      <c r="AQ151" s="56"/>
      <c r="AR151" s="56"/>
      <c r="AS151" s="56"/>
      <c r="AT151" s="56"/>
      <c r="AU151" s="56"/>
    </row>
    <row r="152" spans="2:49" ht="4" customHeight="1" x14ac:dyDescent="0.15">
      <c r="B152" s="68"/>
      <c r="D152" s="8"/>
      <c r="E152" s="8"/>
      <c r="F152" s="8"/>
      <c r="G152" s="8"/>
      <c r="H152" s="8"/>
      <c r="I152" s="8"/>
      <c r="K152" s="98"/>
      <c r="L152" s="98"/>
      <c r="M152" s="98"/>
      <c r="N152" s="98"/>
      <c r="O152" s="98"/>
      <c r="P152" s="98"/>
      <c r="S152" s="8"/>
      <c r="T152" s="8"/>
      <c r="U152" s="8"/>
      <c r="V152" s="8"/>
      <c r="W152" s="8"/>
      <c r="X152" s="8"/>
      <c r="Z152" s="98"/>
      <c r="AA152" s="98"/>
      <c r="AB152" s="98"/>
      <c r="AC152" s="98"/>
      <c r="AD152" s="98"/>
      <c r="AE152" s="98"/>
      <c r="AH152" s="8"/>
      <c r="AI152" s="8"/>
      <c r="AJ152" s="8"/>
      <c r="AK152" s="8"/>
      <c r="AL152" s="8"/>
      <c r="AM152" s="8"/>
      <c r="AO152" s="98"/>
      <c r="AP152" s="98"/>
      <c r="AQ152" s="98"/>
      <c r="AR152" s="98"/>
      <c r="AS152" s="98"/>
      <c r="AT152" s="98"/>
      <c r="AU152" s="98"/>
    </row>
    <row r="153" spans="2:49" ht="12.5" customHeight="1" x14ac:dyDescent="0.15">
      <c r="B153" s="57" t="s">
        <v>4</v>
      </c>
      <c r="C153" s="69">
        <v>5.8787734156319935</v>
      </c>
      <c r="D153" s="70">
        <v>5.7909466635134912</v>
      </c>
      <c r="E153" s="70">
        <v>6.0122826104979055</v>
      </c>
      <c r="F153" s="70">
        <v>6.5787242177387384</v>
      </c>
      <c r="G153" s="70">
        <v>6.9586397368699124</v>
      </c>
      <c r="H153" s="70">
        <v>7.396785709557431</v>
      </c>
      <c r="I153" s="70">
        <v>7.827054038767308</v>
      </c>
      <c r="K153" s="17">
        <f t="shared" si="33"/>
        <v>-1.4939638919398757E-2</v>
      </c>
      <c r="L153" s="98">
        <f t="shared" si="33"/>
        <v>3.8221030143303913E-2</v>
      </c>
      <c r="M153" s="98">
        <f t="shared" si="33"/>
        <v>9.4214068755148483E-2</v>
      </c>
      <c r="N153" s="98">
        <f t="shared" si="33"/>
        <v>5.7749117694700924E-2</v>
      </c>
      <c r="O153" s="98">
        <f t="shared" si="33"/>
        <v>6.2964313322046328E-2</v>
      </c>
      <c r="P153" s="98">
        <f t="shared" si="33"/>
        <v>5.8169635582915991E-2</v>
      </c>
      <c r="R153" s="69">
        <v>5.8787734156319935</v>
      </c>
      <c r="S153" s="70">
        <v>5.7664508972848658</v>
      </c>
      <c r="T153" s="70">
        <v>5.9440600290886252</v>
      </c>
      <c r="U153" s="70">
        <v>6.6334694851788676</v>
      </c>
      <c r="V153" s="70">
        <v>7.067052325899688</v>
      </c>
      <c r="W153" s="70">
        <v>7.5479009942495132</v>
      </c>
      <c r="X153" s="70">
        <v>8.0149313183932058</v>
      </c>
      <c r="Z153" s="17">
        <f t="shared" ref="Z153:AE154" si="38">S153/R153-1</f>
        <v>-1.9106454766304792E-2</v>
      </c>
      <c r="AA153" s="98">
        <f t="shared" si="38"/>
        <v>3.0800423859914661E-2</v>
      </c>
      <c r="AB153" s="98">
        <f t="shared" si="38"/>
        <v>0.11598292290395085</v>
      </c>
      <c r="AC153" s="98">
        <f t="shared" si="38"/>
        <v>6.5362905744810185E-2</v>
      </c>
      <c r="AD153" s="98">
        <f t="shared" si="38"/>
        <v>6.8040909586531084E-2</v>
      </c>
      <c r="AE153" s="98">
        <f t="shared" si="38"/>
        <v>6.1875523340794603E-2</v>
      </c>
      <c r="AG153" s="69">
        <f t="shared" si="35"/>
        <v>0</v>
      </c>
      <c r="AH153" s="70">
        <f t="shared" si="35"/>
        <v>2.4495766228625371E-2</v>
      </c>
      <c r="AI153" s="70">
        <f t="shared" si="35"/>
        <v>6.8222581409280281E-2</v>
      </c>
      <c r="AJ153" s="70">
        <f t="shared" si="35"/>
        <v>-5.4745267440129197E-2</v>
      </c>
      <c r="AK153" s="70">
        <f t="shared" si="35"/>
        <v>-0.10841258902977557</v>
      </c>
      <c r="AL153" s="70">
        <f t="shared" si="35"/>
        <v>-0.15111528469208224</v>
      </c>
      <c r="AM153" s="70">
        <f t="shared" si="35"/>
        <v>-0.18787727962589784</v>
      </c>
      <c r="AO153" s="98">
        <f t="shared" si="36"/>
        <v>0</v>
      </c>
      <c r="AP153" s="98">
        <f t="shared" si="36"/>
        <v>4.2479796784811175E-3</v>
      </c>
      <c r="AQ153" s="98">
        <f t="shared" si="36"/>
        <v>1.1477438161024089E-2</v>
      </c>
      <c r="AR153" s="98">
        <f t="shared" si="36"/>
        <v>-8.2528859991662928E-3</v>
      </c>
      <c r="AS153" s="98">
        <f t="shared" si="36"/>
        <v>-1.5340566905449382E-2</v>
      </c>
      <c r="AT153" s="98">
        <f t="shared" si="36"/>
        <v>-2.0020835568353657E-2</v>
      </c>
      <c r="AU153" s="98">
        <f t="shared" si="36"/>
        <v>-2.3440909492854267E-2</v>
      </c>
    </row>
    <row r="154" spans="2:49" ht="12.5" customHeight="1" x14ac:dyDescent="0.15">
      <c r="B154" s="57" t="s">
        <v>5</v>
      </c>
      <c r="C154" s="69">
        <v>20.156538433933964</v>
      </c>
      <c r="D154" s="70">
        <v>19.623770675853521</v>
      </c>
      <c r="E154" s="70">
        <v>20.616728175772629</v>
      </c>
      <c r="F154" s="70">
        <v>21.821568218067085</v>
      </c>
      <c r="G154" s="70">
        <v>23.345539461813683</v>
      </c>
      <c r="H154" s="70">
        <v>24.75956488317097</v>
      </c>
      <c r="I154" s="70">
        <v>26.288819168812189</v>
      </c>
      <c r="K154" s="17">
        <f t="shared" si="33"/>
        <v>-2.6431510540694703E-2</v>
      </c>
      <c r="L154" s="98">
        <f t="shared" si="33"/>
        <v>5.0599730109000651E-2</v>
      </c>
      <c r="M154" s="98">
        <f t="shared" si="33"/>
        <v>5.8439924706884527E-2</v>
      </c>
      <c r="N154" s="98">
        <f t="shared" si="33"/>
        <v>6.9837842473889244E-2</v>
      </c>
      <c r="O154" s="98">
        <f t="shared" si="33"/>
        <v>6.0569404432491591E-2</v>
      </c>
      <c r="P154" s="98">
        <f t="shared" si="33"/>
        <v>6.1764182563670555E-2</v>
      </c>
      <c r="R154" s="69">
        <v>20.156538433933964</v>
      </c>
      <c r="S154" s="70">
        <v>19.110654754350154</v>
      </c>
      <c r="T154" s="70">
        <v>20.382786009795815</v>
      </c>
      <c r="U154" s="70">
        <v>21.63037890531248</v>
      </c>
      <c r="V154" s="70">
        <v>23.309137210517797</v>
      </c>
      <c r="W154" s="70">
        <v>24.838691327340339</v>
      </c>
      <c r="X154" s="70">
        <v>26.315775326823019</v>
      </c>
      <c r="Z154" s="17">
        <f t="shared" si="38"/>
        <v>-5.1888060195050212E-2</v>
      </c>
      <c r="AA154" s="98">
        <f t="shared" si="38"/>
        <v>6.6566597105004233E-2</v>
      </c>
      <c r="AB154" s="98">
        <f t="shared" si="38"/>
        <v>6.1208163345142452E-2</v>
      </c>
      <c r="AC154" s="98">
        <f t="shared" si="38"/>
        <v>7.761113721373647E-2</v>
      </c>
      <c r="AD154" s="98">
        <f t="shared" si="38"/>
        <v>6.5620366082548953E-2</v>
      </c>
      <c r="AE154" s="98">
        <f t="shared" si="38"/>
        <v>5.9467062093437661E-2</v>
      </c>
      <c r="AG154" s="69">
        <f t="shared" si="35"/>
        <v>0</v>
      </c>
      <c r="AH154" s="70">
        <f t="shared" si="35"/>
        <v>0.51311592150336693</v>
      </c>
      <c r="AI154" s="70">
        <f t="shared" si="35"/>
        <v>0.2339421659768135</v>
      </c>
      <c r="AJ154" s="70">
        <f t="shared" si="35"/>
        <v>0.19118931275460582</v>
      </c>
      <c r="AK154" s="70">
        <f t="shared" si="35"/>
        <v>3.6402251295886145E-2</v>
      </c>
      <c r="AL154" s="70">
        <f t="shared" si="35"/>
        <v>-7.9126444169368426E-2</v>
      </c>
      <c r="AM154" s="70">
        <f t="shared" si="35"/>
        <v>-2.6956158010829512E-2</v>
      </c>
      <c r="AO154" s="98">
        <f t="shared" si="36"/>
        <v>0</v>
      </c>
      <c r="AP154" s="98">
        <f t="shared" si="36"/>
        <v>2.6849730064144817E-2</v>
      </c>
      <c r="AQ154" s="98">
        <f t="shared" si="36"/>
        <v>1.1477438161023867E-2</v>
      </c>
      <c r="AR154" s="98">
        <f t="shared" si="36"/>
        <v>8.8389257345671268E-3</v>
      </c>
      <c r="AS154" s="98">
        <f t="shared" si="36"/>
        <v>1.5617159471461584E-3</v>
      </c>
      <c r="AT154" s="98">
        <f t="shared" si="36"/>
        <v>-3.1856124433686794E-3</v>
      </c>
      <c r="AU154" s="98">
        <f t="shared" si="36"/>
        <v>-1.0243345550740024E-3</v>
      </c>
    </row>
    <row r="155" spans="2:49" ht="4" customHeight="1" x14ac:dyDescent="0.15">
      <c r="D155" s="8"/>
      <c r="E155" s="8"/>
      <c r="F155" s="8"/>
      <c r="G155" s="8"/>
      <c r="H155" s="8"/>
      <c r="I155" s="8"/>
      <c r="S155" s="8"/>
      <c r="T155" s="8"/>
      <c r="U155" s="8"/>
      <c r="V155" s="8"/>
      <c r="W155" s="8"/>
      <c r="X155" s="8"/>
      <c r="AH155" s="8"/>
      <c r="AI155" s="8"/>
      <c r="AJ155" s="8"/>
      <c r="AK155" s="8"/>
      <c r="AL155" s="8"/>
      <c r="AM155" s="8"/>
    </row>
    <row r="156" spans="2:49" x14ac:dyDescent="0.15">
      <c r="B156" s="38" t="s">
        <v>78</v>
      </c>
      <c r="C156" s="68"/>
      <c r="D156" s="68"/>
      <c r="E156" s="68"/>
      <c r="F156" s="68"/>
      <c r="G156" s="68"/>
      <c r="H156" s="68"/>
      <c r="I156" s="68"/>
      <c r="K156" s="77"/>
      <c r="L156" s="77"/>
      <c r="M156" s="77"/>
      <c r="N156" s="77"/>
      <c r="O156" s="77"/>
      <c r="P156" s="77"/>
      <c r="Q156" s="58"/>
      <c r="R156" s="68"/>
      <c r="S156" s="68"/>
      <c r="T156" s="68"/>
      <c r="U156" s="68"/>
      <c r="V156" s="68"/>
      <c r="W156" s="68"/>
      <c r="X156" s="68"/>
      <c r="Z156" s="77"/>
      <c r="AA156" s="77"/>
      <c r="AB156" s="77"/>
      <c r="AC156" s="77"/>
      <c r="AD156" s="77"/>
      <c r="AE156" s="77"/>
      <c r="AG156" s="68"/>
      <c r="AH156" s="68"/>
      <c r="AI156" s="68"/>
      <c r="AJ156" s="68"/>
      <c r="AK156" s="68"/>
      <c r="AL156" s="68"/>
      <c r="AM156" s="68"/>
      <c r="AO156" s="68"/>
      <c r="AP156" s="68"/>
      <c r="AQ156" s="68"/>
      <c r="AR156" s="68"/>
      <c r="AS156" s="68"/>
      <c r="AT156" s="68"/>
      <c r="AU156" s="68"/>
    </row>
    <row r="157" spans="2:49" x14ac:dyDescent="0.15">
      <c r="B157" s="102"/>
      <c r="C157" s="102"/>
      <c r="D157" s="102"/>
      <c r="E157" s="102"/>
      <c r="F157" s="102"/>
      <c r="G157" s="102"/>
      <c r="H157" s="102"/>
      <c r="I157" s="102"/>
      <c r="R157" s="102"/>
      <c r="S157" s="102"/>
      <c r="T157" s="102"/>
      <c r="U157" s="102"/>
      <c r="V157" s="102"/>
      <c r="W157" s="102"/>
      <c r="X157" s="102"/>
      <c r="AG157" s="102"/>
      <c r="AH157" s="102"/>
      <c r="AI157" s="102"/>
      <c r="AJ157" s="102"/>
      <c r="AK157" s="102"/>
      <c r="AL157" s="102"/>
      <c r="AM157" s="102"/>
      <c r="AO157" s="102"/>
      <c r="AP157" s="102"/>
      <c r="AQ157" s="102"/>
      <c r="AR157" s="102"/>
      <c r="AS157" s="102"/>
      <c r="AT157" s="102"/>
      <c r="AU157" s="102"/>
    </row>
    <row r="158" spans="2:49" x14ac:dyDescent="0.15">
      <c r="B158" s="102"/>
      <c r="C158" s="102"/>
      <c r="D158" s="102"/>
      <c r="E158" s="102"/>
      <c r="F158" s="102"/>
      <c r="G158" s="102"/>
      <c r="H158" s="102"/>
      <c r="I158" s="102"/>
      <c r="R158" s="102"/>
      <c r="S158" s="102"/>
      <c r="T158" s="102"/>
      <c r="U158" s="102"/>
      <c r="V158" s="102"/>
      <c r="W158" s="102"/>
      <c r="X158" s="102"/>
      <c r="AG158" s="102"/>
      <c r="AH158" s="102"/>
      <c r="AI158" s="102"/>
      <c r="AJ158" s="102"/>
      <c r="AK158" s="102"/>
      <c r="AL158" s="102"/>
      <c r="AM158" s="102"/>
      <c r="AO158" s="102"/>
      <c r="AP158" s="102"/>
      <c r="AQ158" s="102"/>
      <c r="AR158" s="102"/>
      <c r="AS158" s="102"/>
      <c r="AT158" s="102"/>
      <c r="AU158" s="102"/>
    </row>
    <row r="159" spans="2:49" x14ac:dyDescent="0.15">
      <c r="C159" s="72"/>
      <c r="D159" s="72"/>
      <c r="E159" s="72"/>
      <c r="F159" s="72"/>
      <c r="G159" s="72"/>
      <c r="H159" s="72"/>
      <c r="I159" s="72"/>
      <c r="R159" s="72"/>
      <c r="S159" s="72"/>
      <c r="T159" s="72"/>
      <c r="U159" s="72"/>
      <c r="V159" s="72"/>
      <c r="W159" s="72"/>
      <c r="X159" s="72"/>
      <c r="AG159" s="72"/>
      <c r="AH159" s="72"/>
      <c r="AI159" s="72"/>
      <c r="AJ159" s="72"/>
      <c r="AK159" s="72"/>
      <c r="AL159" s="72"/>
      <c r="AM159" s="72"/>
      <c r="AO159" s="72"/>
      <c r="AP159" s="72"/>
      <c r="AQ159" s="72"/>
      <c r="AR159" s="72"/>
      <c r="AS159" s="72"/>
      <c r="AT159" s="72"/>
      <c r="AU159" s="72"/>
    </row>
    <row r="160" spans="2:49" x14ac:dyDescent="0.15">
      <c r="B160" s="20"/>
    </row>
    <row r="161" spans="2:47" x14ac:dyDescent="0.15">
      <c r="B161" s="20"/>
    </row>
    <row r="164" spans="2:47" x14ac:dyDescent="0.15">
      <c r="B164" s="14"/>
      <c r="C164" s="112"/>
      <c r="D164" s="112"/>
      <c r="E164" s="112"/>
      <c r="F164" s="112"/>
      <c r="G164" s="112"/>
      <c r="H164" s="112"/>
      <c r="I164" s="112"/>
      <c r="R164" s="112"/>
      <c r="S164" s="112"/>
      <c r="T164" s="112"/>
      <c r="U164" s="112"/>
      <c r="V164" s="112"/>
      <c r="W164" s="112"/>
      <c r="X164" s="112"/>
      <c r="AG164" s="112"/>
      <c r="AH164" s="112"/>
      <c r="AI164" s="112"/>
      <c r="AJ164" s="112"/>
      <c r="AK164" s="112"/>
      <c r="AL164" s="112"/>
      <c r="AM164" s="112"/>
      <c r="AO164" s="112"/>
      <c r="AP164" s="112"/>
      <c r="AQ164" s="112"/>
      <c r="AR164" s="112"/>
      <c r="AS164" s="112"/>
      <c r="AT164" s="112"/>
      <c r="AU164" s="112"/>
    </row>
    <row r="165" spans="2:47" x14ac:dyDescent="0.15">
      <c r="B165" s="14"/>
      <c r="C165" s="112"/>
      <c r="D165" s="112"/>
      <c r="E165" s="112"/>
      <c r="F165" s="112"/>
      <c r="G165" s="112"/>
      <c r="H165" s="112"/>
      <c r="I165" s="112"/>
      <c r="R165" s="112"/>
      <c r="S165" s="112"/>
      <c r="T165" s="112"/>
      <c r="U165" s="112"/>
      <c r="V165" s="112"/>
      <c r="W165" s="112"/>
      <c r="X165" s="112"/>
      <c r="AG165" s="112"/>
      <c r="AH165" s="112"/>
      <c r="AI165" s="112"/>
      <c r="AJ165" s="112"/>
      <c r="AK165" s="112"/>
      <c r="AL165" s="112"/>
      <c r="AM165" s="112"/>
      <c r="AO165" s="112"/>
      <c r="AP165" s="112"/>
      <c r="AQ165" s="112"/>
      <c r="AR165" s="112"/>
      <c r="AS165" s="112"/>
      <c r="AT165" s="112"/>
      <c r="AU165" s="112"/>
    </row>
    <row r="166" spans="2:47" x14ac:dyDescent="0.15">
      <c r="B166" s="14"/>
      <c r="C166" s="112"/>
      <c r="D166" s="112"/>
      <c r="E166" s="112"/>
      <c r="F166" s="112"/>
      <c r="G166" s="112"/>
      <c r="H166" s="112"/>
      <c r="I166" s="112"/>
      <c r="R166" s="112"/>
      <c r="S166" s="112"/>
      <c r="T166" s="112"/>
      <c r="U166" s="112"/>
      <c r="V166" s="112"/>
      <c r="W166" s="112"/>
      <c r="X166" s="112"/>
      <c r="AG166" s="112"/>
      <c r="AH166" s="112"/>
      <c r="AI166" s="112"/>
      <c r="AJ166" s="112"/>
      <c r="AK166" s="112"/>
      <c r="AL166" s="112"/>
      <c r="AM166" s="112"/>
      <c r="AO166" s="112"/>
      <c r="AP166" s="112"/>
      <c r="AQ166" s="112"/>
      <c r="AR166" s="112"/>
      <c r="AS166" s="112"/>
      <c r="AT166" s="112"/>
      <c r="AU166" s="112"/>
    </row>
    <row r="167" spans="2:47" x14ac:dyDescent="0.15">
      <c r="B167" s="14"/>
      <c r="C167" s="112"/>
      <c r="D167" s="112"/>
      <c r="E167" s="112"/>
      <c r="F167" s="112"/>
      <c r="G167" s="112"/>
      <c r="H167" s="112"/>
      <c r="I167" s="112"/>
      <c r="R167" s="112"/>
      <c r="S167" s="112"/>
      <c r="T167" s="112"/>
      <c r="U167" s="112"/>
      <c r="V167" s="112"/>
      <c r="W167" s="112"/>
      <c r="X167" s="112"/>
      <c r="AG167" s="112"/>
      <c r="AH167" s="112"/>
      <c r="AI167" s="112"/>
      <c r="AJ167" s="112"/>
      <c r="AK167" s="112"/>
      <c r="AL167" s="112"/>
      <c r="AM167" s="112"/>
      <c r="AO167" s="112"/>
      <c r="AP167" s="112"/>
      <c r="AQ167" s="112"/>
      <c r="AR167" s="112"/>
      <c r="AS167" s="112"/>
      <c r="AT167" s="112"/>
      <c r="AU167" s="112"/>
    </row>
    <row r="168" spans="2:47" x14ac:dyDescent="0.15">
      <c r="B168" s="20"/>
    </row>
    <row r="169" spans="2:47" x14ac:dyDescent="0.15">
      <c r="B169" s="20"/>
    </row>
    <row r="170" spans="2:47" x14ac:dyDescent="0.15">
      <c r="B170" s="54"/>
    </row>
    <row r="171" spans="2:47" x14ac:dyDescent="0.15">
      <c r="B171" s="54"/>
    </row>
    <row r="172" spans="2:47" x14ac:dyDescent="0.15">
      <c r="B172" s="20"/>
    </row>
  </sheetData>
  <mergeCells count="1">
    <mergeCell ref="B38:B3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9fd31-555f-41cc-81cb-53143828dccc">
      <Terms xmlns="http://schemas.microsoft.com/office/infopath/2007/PartnerControls"/>
    </lcf76f155ced4ddcb4097134ff3c332f>
    <test xmlns="5519fd31-555f-41cc-81cb-53143828dccc" xsi:nil="true"/>
    <TaxCatchAll xmlns="4ca831f6-cca9-43ff-9fb4-19bcfc8d4d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71DF87BFC81940914A3AA11E484764" ma:contentTypeVersion="14" ma:contentTypeDescription="Create a new document." ma:contentTypeScope="" ma:versionID="2a2a994f05e2302f3f38acf9d136d6bd">
  <xsd:schema xmlns:xsd="http://www.w3.org/2001/XMLSchema" xmlns:xs="http://www.w3.org/2001/XMLSchema" xmlns:p="http://schemas.microsoft.com/office/2006/metadata/properties" xmlns:ns2="5519fd31-555f-41cc-81cb-53143828dccc" xmlns:ns3="4ca831f6-cca9-43ff-9fb4-19bcfc8d4d95" targetNamespace="http://schemas.microsoft.com/office/2006/metadata/properties" ma:root="true" ma:fieldsID="054dcfbb40a55c2d90d9bb9520514cb6" ns2:_="" ns3:_="">
    <xsd:import namespace="5519fd31-555f-41cc-81cb-53143828dccc"/>
    <xsd:import namespace="4ca831f6-cca9-43ff-9fb4-19bcfc8d4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t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9fd31-555f-41cc-81cb-53143828dc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948b6bc-314d-408e-b346-5eed8cc7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test" ma:index="21" nillable="true" ma:displayName="test" ma:format="Dropdown" ma:internalName="test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831f6-cca9-43ff-9fb4-19bcfc8d4d9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c31d755-b3c0-41d6-97bb-9e4891aaecb1}" ma:internalName="TaxCatchAll" ma:showField="CatchAllData" ma:web="4ca831f6-cca9-43ff-9fb4-19bcfc8d4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AE1AA3-EE9C-40EB-A8A4-F1D91C6BC96D}">
  <ds:schemaRefs>
    <ds:schemaRef ds:uri="4ca831f6-cca9-43ff-9fb4-19bcfc8d4d95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5519fd31-555f-41cc-81cb-53143828dccc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DCE3722-EB76-4489-AC9B-CEC7636F3F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76369C-5B22-40EC-B935-BDD2577E4D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9fd31-555f-41cc-81cb-53143828dccc"/>
    <ds:schemaRef ds:uri="4ca831f6-cca9-43ff-9fb4-19bcfc8d4d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tbl_report</vt:lpstr>
      <vt:lpstr>compare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Emina Cardamone</dc:creator>
  <cp:keywords/>
  <dc:description/>
  <cp:lastModifiedBy>Graham Gee</cp:lastModifiedBy>
  <cp:revision/>
  <dcterms:created xsi:type="dcterms:W3CDTF">2024-01-31T15:59:06Z</dcterms:created>
  <dcterms:modified xsi:type="dcterms:W3CDTF">2026-05-13T23:00:16Z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2024-01-31T16:01:07Z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6617185d-da59-4d47-81d7-d4d39a14c1a7</vt:lpwstr>
  </property>
  <property fmtid="{D5CDD505-2E9C-101B-9397-08002B2CF9AE}" pid="8" name="MSIP_Label_231f5784-19ed-4d1e-9a93-4ea41014d730_ContentBits">
    <vt:lpwstr>0</vt:lpwstr>
  </property>
  <property fmtid="{D5CDD505-2E9C-101B-9397-08002B2CF9AE}" pid="9" name="ContentTypeId">
    <vt:lpwstr>0x0101002A71DF87BFC81940914A3AA11E484764</vt:lpwstr>
  </property>
  <property fmtid="{D5CDD505-2E9C-101B-9397-08002B2CF9AE}" pid="10" name="MediaServiceImageTags">
    <vt:lpwstr/>
  </property>
</Properties>
</file>