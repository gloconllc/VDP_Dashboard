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chibukhchyan/Library/CloudStorage/OneDrive-VisitCalifornia/# ANI/#Research Pages/Airport Traffic/2025/12 December/"/>
    </mc:Choice>
  </mc:AlternateContent>
  <xr:revisionPtr revIDLastSave="0" documentId="13_ncr:1_{CA79B7A5-963F-2641-ABEA-D1C4C8BFBDBD}" xr6:coauthVersionLast="47" xr6:coauthVersionMax="47" xr10:uidLastSave="{00000000-0000-0000-0000-000000000000}"/>
  <bookViews>
    <workbookView xWindow="34880" yWindow="600" windowWidth="25180" windowHeight="19720" tabRatio="913" xr2:uid="{00000000-000D-0000-FFFF-FFFF00000000}"/>
  </bookViews>
  <sheets>
    <sheet name="CALIFORNIA" sheetId="14" r:id="rId1"/>
    <sheet name="Los Angeles" sheetId="2" r:id="rId2"/>
    <sheet name="Burbank" sheetId="1" r:id="rId3"/>
    <sheet name="Long Beach" sheetId="3" r:id="rId4"/>
    <sheet name="Oakland" sheetId="4" r:id="rId5"/>
    <sheet name="Ontario" sheetId="5" r:id="rId6"/>
    <sheet name="Orange County" sheetId="10" r:id="rId7"/>
    <sheet name="Sacramento" sheetId="6" r:id="rId8"/>
    <sheet name="San Diego" sheetId="7" r:id="rId9"/>
    <sheet name="San Francisco" sheetId="9" r:id="rId10"/>
    <sheet name="San Jose" sheetId="8" r:id="rId11"/>
    <sheet name="High Low stats" sheetId="12" state="hidden" r:id="rId12"/>
  </sheets>
  <definedNames>
    <definedName name="_xlnm.Print_Area" localSheetId="2">Burbank!$A$1:$L$21</definedName>
    <definedName name="_xlnm.Print_Area" localSheetId="0">CALIFORNIA!$A$1:$M$33</definedName>
    <definedName name="_xlnm.Print_Area" localSheetId="11">'High Low stats'!$A$3:$I$46</definedName>
    <definedName name="_xlnm.Print_Area" localSheetId="3">'Long Beach'!$A$1:$L$21</definedName>
    <definedName name="_xlnm.Print_Area" localSheetId="1">'Los Angeles'!$A$1:$M$21</definedName>
    <definedName name="_xlnm.Print_Area" localSheetId="4">Oakland!$A$1:$L$21</definedName>
    <definedName name="_xlnm.Print_Area" localSheetId="5">Ontario!$A$1:$M$21</definedName>
    <definedName name="_xlnm.Print_Area" localSheetId="6">'Orange County'!$A$1:$M$21</definedName>
    <definedName name="_xlnm.Print_Area" localSheetId="7">Sacramento!$A$1:$M$21</definedName>
    <definedName name="_xlnm.Print_Area" localSheetId="9">'San Francisco'!$A$1:$M$21</definedName>
    <definedName name="_xlnm.Print_Area" localSheetId="10">'San Jose'!$A$1:$M$21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" i="2" l="1"/>
  <c r="G18" i="1"/>
  <c r="C18" i="1"/>
  <c r="G18" i="3"/>
  <c r="C18" i="3"/>
  <c r="K18" i="4"/>
  <c r="G18" i="4"/>
  <c r="C18" i="4"/>
  <c r="C18" i="5"/>
  <c r="G18" i="5"/>
  <c r="K18" i="5"/>
  <c r="K18" i="10"/>
  <c r="G18" i="10"/>
  <c r="G18" i="6"/>
  <c r="K18" i="6"/>
  <c r="C18" i="7"/>
  <c r="K18" i="7"/>
  <c r="G18" i="7"/>
  <c r="C18" i="9"/>
  <c r="K18" i="9"/>
  <c r="G18" i="9"/>
  <c r="C18" i="2"/>
  <c r="K18" i="14"/>
  <c r="G18" i="14"/>
  <c r="C18" i="14"/>
  <c r="B16" i="14"/>
  <c r="B17" i="14"/>
  <c r="J16" i="14"/>
  <c r="J17" i="14"/>
  <c r="F16" i="14"/>
  <c r="F17" i="14"/>
  <c r="K18" i="8"/>
  <c r="G18" i="8"/>
  <c r="C18" i="8"/>
  <c r="B18" i="9"/>
  <c r="C18" i="6"/>
  <c r="C18" i="10"/>
  <c r="K18" i="2"/>
  <c r="B18" i="14" l="1"/>
  <c r="B18" i="2"/>
  <c r="B14" i="14"/>
  <c r="B15" i="14"/>
  <c r="J14" i="14"/>
  <c r="J15" i="14"/>
  <c r="F14" i="14"/>
  <c r="F15" i="14"/>
  <c r="B15" i="4"/>
  <c r="J15" i="4"/>
  <c r="F15" i="4"/>
  <c r="F15" i="5"/>
  <c r="J15" i="5"/>
  <c r="F15" i="10"/>
  <c r="B15" i="9"/>
  <c r="B15" i="6"/>
  <c r="J15" i="6"/>
  <c r="F15" i="6"/>
  <c r="B15" i="8"/>
  <c r="J15" i="8"/>
  <c r="F15" i="8"/>
  <c r="J14" i="8"/>
  <c r="F14" i="8"/>
  <c r="B14" i="8"/>
  <c r="B14" i="9"/>
  <c r="B14" i="7"/>
  <c r="B14" i="6"/>
  <c r="F14" i="6"/>
  <c r="J14" i="6"/>
  <c r="B14" i="4"/>
  <c r="F14" i="4"/>
  <c r="J14" i="4"/>
  <c r="F14" i="10"/>
  <c r="F14" i="5"/>
  <c r="J14" i="5"/>
  <c r="J18" i="2" l="1"/>
  <c r="F13" i="10"/>
  <c r="F13" i="14" s="1"/>
  <c r="F6" i="14"/>
  <c r="F12" i="14"/>
  <c r="F12" i="10"/>
  <c r="J13" i="14"/>
  <c r="B13" i="9"/>
  <c r="D13" i="6"/>
  <c r="B13" i="8"/>
  <c r="F13" i="8"/>
  <c r="J13" i="8"/>
  <c r="F13" i="4"/>
  <c r="J13" i="4"/>
  <c r="J13" i="5"/>
  <c r="F13" i="5"/>
  <c r="J12" i="14"/>
  <c r="L12" i="7"/>
  <c r="H12" i="7"/>
  <c r="L12" i="4"/>
  <c r="H12" i="4"/>
  <c r="D12" i="4"/>
  <c r="B13" i="14" l="1"/>
  <c r="B12" i="14"/>
  <c r="D11" i="7"/>
  <c r="J11" i="14"/>
  <c r="F11" i="14"/>
  <c r="D11" i="2"/>
  <c r="F11" i="10"/>
  <c r="B11" i="4"/>
  <c r="L11" i="4"/>
  <c r="H11" i="4"/>
  <c r="K11" i="4"/>
  <c r="G11" i="4"/>
  <c r="J11" i="4"/>
  <c r="F11" i="4"/>
  <c r="B10" i="8"/>
  <c r="F10" i="8"/>
  <c r="F10" i="14"/>
  <c r="J10" i="14"/>
  <c r="D10" i="1"/>
  <c r="B10" i="4"/>
  <c r="H10" i="4"/>
  <c r="L10" i="4"/>
  <c r="K10" i="4"/>
  <c r="G10" i="4"/>
  <c r="F18" i="4"/>
  <c r="H18" i="4" s="1"/>
  <c r="J18" i="4"/>
  <c r="L18" i="4" s="1"/>
  <c r="J10" i="4"/>
  <c r="F10" i="4"/>
  <c r="B18" i="8"/>
  <c r="D18" i="8" s="1"/>
  <c r="F18" i="8"/>
  <c r="H18" i="8" s="1"/>
  <c r="J18" i="8"/>
  <c r="L18" i="8" s="1"/>
  <c r="J18" i="9"/>
  <c r="L18" i="9" s="1"/>
  <c r="F18" i="9"/>
  <c r="H18" i="9" s="1"/>
  <c r="D18" i="9"/>
  <c r="J18" i="7"/>
  <c r="L18" i="7" s="1"/>
  <c r="F18" i="7"/>
  <c r="H18" i="7" s="1"/>
  <c r="B18" i="7"/>
  <c r="D18" i="7" s="1"/>
  <c r="J18" i="6"/>
  <c r="L18" i="6" s="1"/>
  <c r="F18" i="6"/>
  <c r="H18" i="6" s="1"/>
  <c r="B18" i="6"/>
  <c r="D18" i="6" s="1"/>
  <c r="J18" i="10"/>
  <c r="L18" i="10" s="1"/>
  <c r="B18" i="10"/>
  <c r="D18" i="10" s="1"/>
  <c r="J18" i="5"/>
  <c r="L18" i="5" s="1"/>
  <c r="F18" i="5"/>
  <c r="H18" i="5" s="1"/>
  <c r="B18" i="5"/>
  <c r="D18" i="5" s="1"/>
  <c r="B18" i="4"/>
  <c r="D18" i="4" s="1"/>
  <c r="F18" i="3"/>
  <c r="H18" i="3" s="1"/>
  <c r="B18" i="3"/>
  <c r="D18" i="3" s="1"/>
  <c r="F18" i="1"/>
  <c r="H18" i="1" s="1"/>
  <c r="B18" i="1"/>
  <c r="D18" i="1" s="1"/>
  <c r="L18" i="2"/>
  <c r="F18" i="2"/>
  <c r="H18" i="2" s="1"/>
  <c r="D18" i="2"/>
  <c r="K6" i="14"/>
  <c r="K7" i="14"/>
  <c r="K8" i="14"/>
  <c r="K9" i="14"/>
  <c r="K10" i="14"/>
  <c r="J6" i="14"/>
  <c r="J7" i="14"/>
  <c r="J8" i="14"/>
  <c r="J9" i="14"/>
  <c r="G10" i="14"/>
  <c r="G6" i="14"/>
  <c r="G7" i="14"/>
  <c r="G8" i="14"/>
  <c r="G9" i="14"/>
  <c r="F10" i="5"/>
  <c r="F7" i="14"/>
  <c r="F8" i="14"/>
  <c r="F9" i="14"/>
  <c r="B9" i="8"/>
  <c r="J9" i="8"/>
  <c r="F9" i="8"/>
  <c r="C9" i="7"/>
  <c r="B10" i="6"/>
  <c r="L10" i="6"/>
  <c r="H10" i="6"/>
  <c r="J10" i="6"/>
  <c r="F10" i="6"/>
  <c r="B9" i="6"/>
  <c r="J9" i="6"/>
  <c r="F9" i="6"/>
  <c r="B9" i="4"/>
  <c r="H9" i="4"/>
  <c r="G9" i="4"/>
  <c r="L9" i="4"/>
  <c r="L8" i="4"/>
  <c r="K9" i="4"/>
  <c r="J9" i="4"/>
  <c r="F9" i="4"/>
  <c r="J10" i="5"/>
  <c r="F9" i="5"/>
  <c r="J9" i="5"/>
  <c r="F9" i="10"/>
  <c r="F10" i="10"/>
  <c r="D10" i="9"/>
  <c r="B10" i="9"/>
  <c r="B9" i="9"/>
  <c r="B10" i="2"/>
  <c r="D9" i="2"/>
  <c r="B9" i="2"/>
  <c r="K8" i="4"/>
  <c r="G8" i="4"/>
  <c r="F8" i="4"/>
  <c r="B8" i="4"/>
  <c r="B8" i="2"/>
  <c r="H8" i="4"/>
  <c r="H13" i="4"/>
  <c r="H14" i="4"/>
  <c r="H15" i="4"/>
  <c r="H16" i="4"/>
  <c r="L13" i="4"/>
  <c r="L14" i="4"/>
  <c r="L15" i="4"/>
  <c r="L16" i="4"/>
  <c r="B7" i="8"/>
  <c r="J7" i="8"/>
  <c r="F7" i="8"/>
  <c r="B7" i="9"/>
  <c r="B7" i="6"/>
  <c r="J7" i="6"/>
  <c r="F7" i="6"/>
  <c r="G7" i="4"/>
  <c r="K7" i="4"/>
  <c r="J7" i="4"/>
  <c r="F7" i="4"/>
  <c r="F7" i="5"/>
  <c r="J7" i="5"/>
  <c r="F7" i="10"/>
  <c r="B7" i="7"/>
  <c r="K6" i="4"/>
  <c r="J6" i="8"/>
  <c r="G6" i="4"/>
  <c r="H7" i="4"/>
  <c r="B7" i="4"/>
  <c r="L7" i="4"/>
  <c r="L6" i="4"/>
  <c r="H6" i="4"/>
  <c r="D6" i="4"/>
  <c r="H12" i="9"/>
  <c r="H11" i="9"/>
  <c r="G17" i="4"/>
  <c r="H17" i="4"/>
  <c r="K17" i="4"/>
  <c r="L17" i="4"/>
  <c r="C17" i="4"/>
  <c r="K17" i="14"/>
  <c r="L17" i="14" s="1"/>
  <c r="K16" i="14"/>
  <c r="L16" i="14" s="1"/>
  <c r="K15" i="14"/>
  <c r="L15" i="14" s="1"/>
  <c r="K14" i="14"/>
  <c r="L14" i="14" s="1"/>
  <c r="K13" i="14"/>
  <c r="L13" i="14" s="1"/>
  <c r="K12" i="14"/>
  <c r="L12" i="14" s="1"/>
  <c r="L15" i="5"/>
  <c r="L16" i="5"/>
  <c r="D17" i="3"/>
  <c r="D8" i="4"/>
  <c r="D6" i="1"/>
  <c r="H6" i="2"/>
  <c r="L6" i="2"/>
  <c r="D6" i="2"/>
  <c r="H6" i="7"/>
  <c r="D6" i="10"/>
  <c r="L6" i="10"/>
  <c r="L9" i="10"/>
  <c r="L7" i="10"/>
  <c r="D16" i="3"/>
  <c r="D15" i="3"/>
  <c r="D14" i="3"/>
  <c r="D13" i="3"/>
  <c r="D12" i="3"/>
  <c r="D11" i="3"/>
  <c r="D10" i="3"/>
  <c r="D9" i="3"/>
  <c r="D8" i="3"/>
  <c r="D7" i="3"/>
  <c r="D6" i="3"/>
  <c r="D17" i="5"/>
  <c r="D16" i="5"/>
  <c r="D15" i="5"/>
  <c r="D14" i="5"/>
  <c r="D13" i="5"/>
  <c r="D12" i="5"/>
  <c r="D11" i="5"/>
  <c r="D10" i="5"/>
  <c r="D9" i="5"/>
  <c r="D8" i="5"/>
  <c r="D7" i="5"/>
  <c r="D6" i="5"/>
  <c r="D17" i="10"/>
  <c r="D14" i="10"/>
  <c r="D13" i="10"/>
  <c r="D12" i="10"/>
  <c r="D11" i="10"/>
  <c r="D10" i="10"/>
  <c r="D9" i="10"/>
  <c r="D8" i="10"/>
  <c r="D7" i="10"/>
  <c r="D17" i="4"/>
  <c r="D16" i="4"/>
  <c r="D15" i="4"/>
  <c r="D14" i="4"/>
  <c r="D13" i="4"/>
  <c r="D11" i="4"/>
  <c r="D10" i="4"/>
  <c r="D9" i="4"/>
  <c r="D7" i="4"/>
  <c r="D17" i="6"/>
  <c r="D16" i="6"/>
  <c r="D15" i="6"/>
  <c r="D14" i="6"/>
  <c r="D12" i="6"/>
  <c r="D11" i="6"/>
  <c r="D10" i="6"/>
  <c r="D9" i="6"/>
  <c r="D8" i="6"/>
  <c r="D7" i="6"/>
  <c r="D6" i="6"/>
  <c r="D17" i="7"/>
  <c r="D16" i="7"/>
  <c r="D15" i="7"/>
  <c r="D14" i="7"/>
  <c r="D13" i="7"/>
  <c r="D10" i="7"/>
  <c r="D9" i="7"/>
  <c r="D8" i="7"/>
  <c r="D7" i="7"/>
  <c r="D6" i="7"/>
  <c r="D17" i="9"/>
  <c r="D16" i="9"/>
  <c r="D13" i="9"/>
  <c r="D12" i="9"/>
  <c r="D11" i="9"/>
  <c r="D9" i="9"/>
  <c r="D8" i="9"/>
  <c r="D7" i="9"/>
  <c r="D6" i="9"/>
  <c r="H17" i="9"/>
  <c r="H16" i="9"/>
  <c r="H15" i="9"/>
  <c r="H14" i="9"/>
  <c r="H13" i="9"/>
  <c r="H10" i="9"/>
  <c r="H9" i="9"/>
  <c r="H8" i="9"/>
  <c r="H7" i="9"/>
  <c r="H6" i="9"/>
  <c r="L17" i="9"/>
  <c r="L16" i="9"/>
  <c r="L15" i="9"/>
  <c r="L14" i="9"/>
  <c r="L13" i="9"/>
  <c r="L12" i="9"/>
  <c r="L11" i="9"/>
  <c r="L10" i="9"/>
  <c r="L9" i="9"/>
  <c r="L8" i="9"/>
  <c r="L7" i="9"/>
  <c r="L6" i="9"/>
  <c r="L17" i="7"/>
  <c r="L16" i="7"/>
  <c r="L15" i="7"/>
  <c r="L14" i="7"/>
  <c r="L13" i="7"/>
  <c r="L11" i="7"/>
  <c r="L10" i="7"/>
  <c r="L9" i="7"/>
  <c r="L8" i="7"/>
  <c r="L7" i="7"/>
  <c r="L6" i="7"/>
  <c r="H17" i="7"/>
  <c r="H16" i="7"/>
  <c r="H15" i="7"/>
  <c r="H14" i="7"/>
  <c r="H13" i="7"/>
  <c r="H11" i="7"/>
  <c r="H10" i="7"/>
  <c r="H9" i="7"/>
  <c r="H8" i="7"/>
  <c r="H7" i="7"/>
  <c r="L17" i="6"/>
  <c r="L16" i="6"/>
  <c r="L15" i="6"/>
  <c r="L14" i="6"/>
  <c r="L13" i="6"/>
  <c r="L12" i="6"/>
  <c r="L9" i="6"/>
  <c r="L8" i="6"/>
  <c r="L7" i="6"/>
  <c r="L6" i="6"/>
  <c r="H17" i="6"/>
  <c r="H16" i="6"/>
  <c r="H15" i="6"/>
  <c r="H14" i="6"/>
  <c r="H13" i="6"/>
  <c r="H12" i="6"/>
  <c r="H11" i="6"/>
  <c r="H9" i="6"/>
  <c r="H8" i="6"/>
  <c r="H7" i="6"/>
  <c r="H6" i="6"/>
  <c r="L17" i="10"/>
  <c r="L16" i="10"/>
  <c r="L15" i="10"/>
  <c r="L14" i="10"/>
  <c r="L13" i="10"/>
  <c r="L12" i="10"/>
  <c r="L11" i="10"/>
  <c r="L10" i="10"/>
  <c r="L8" i="10"/>
  <c r="L17" i="5"/>
  <c r="L14" i="5"/>
  <c r="L13" i="5"/>
  <c r="L12" i="5"/>
  <c r="L11" i="5"/>
  <c r="L10" i="5"/>
  <c r="L9" i="5"/>
  <c r="L8" i="5"/>
  <c r="L7" i="5"/>
  <c r="L6" i="5"/>
  <c r="H6" i="5"/>
  <c r="H17" i="3"/>
  <c r="H16" i="3"/>
  <c r="H15" i="3"/>
  <c r="H14" i="3"/>
  <c r="H13" i="3"/>
  <c r="H12" i="3"/>
  <c r="H11" i="3"/>
  <c r="H10" i="3"/>
  <c r="H9" i="3"/>
  <c r="H8" i="3"/>
  <c r="H7" i="3"/>
  <c r="H6" i="3"/>
  <c r="H6" i="1"/>
  <c r="H17" i="1"/>
  <c r="H16" i="1"/>
  <c r="H15" i="1"/>
  <c r="H14" i="1"/>
  <c r="H13" i="1"/>
  <c r="H12" i="1"/>
  <c r="H11" i="1"/>
  <c r="H10" i="1"/>
  <c r="H9" i="1"/>
  <c r="H8" i="1"/>
  <c r="H7" i="1"/>
  <c r="D17" i="1"/>
  <c r="D16" i="1"/>
  <c r="D15" i="1"/>
  <c r="D14" i="1"/>
  <c r="D13" i="1"/>
  <c r="D12" i="1"/>
  <c r="D11" i="1"/>
  <c r="D9" i="1"/>
  <c r="D8" i="1"/>
  <c r="D7" i="1"/>
  <c r="L17" i="2"/>
  <c r="L16" i="2"/>
  <c r="L15" i="2"/>
  <c r="L14" i="2"/>
  <c r="L13" i="2"/>
  <c r="L12" i="2"/>
  <c r="L11" i="2"/>
  <c r="L10" i="2"/>
  <c r="L9" i="2"/>
  <c r="L8" i="2"/>
  <c r="L7" i="2"/>
  <c r="H8" i="2"/>
  <c r="H9" i="2"/>
  <c r="H10" i="2"/>
  <c r="H11" i="2"/>
  <c r="H12" i="2"/>
  <c r="H13" i="2"/>
  <c r="H14" i="2"/>
  <c r="H15" i="2"/>
  <c r="H16" i="2"/>
  <c r="H17" i="2"/>
  <c r="H7" i="2"/>
  <c r="D17" i="2"/>
  <c r="D16" i="2"/>
  <c r="D15" i="2"/>
  <c r="D14" i="2"/>
  <c r="D13" i="2"/>
  <c r="D12" i="2"/>
  <c r="D10" i="2"/>
  <c r="D8" i="2"/>
  <c r="D7" i="2"/>
  <c r="L17" i="8"/>
  <c r="L16" i="8"/>
  <c r="H16" i="8"/>
  <c r="H17" i="10"/>
  <c r="G16" i="14"/>
  <c r="H16" i="14" s="1"/>
  <c r="G15" i="14"/>
  <c r="H15" i="14" s="1"/>
  <c r="H15" i="8"/>
  <c r="H13" i="8"/>
  <c r="H14" i="8"/>
  <c r="H17" i="5"/>
  <c r="G17" i="14"/>
  <c r="H14" i="5"/>
  <c r="G14" i="14"/>
  <c r="H14" i="14" s="1"/>
  <c r="D17" i="8"/>
  <c r="H17" i="8"/>
  <c r="D15" i="8"/>
  <c r="L15" i="8"/>
  <c r="D16" i="8"/>
  <c r="L14" i="8"/>
  <c r="H13" i="10"/>
  <c r="L12" i="8"/>
  <c r="H12" i="8"/>
  <c r="H12" i="10"/>
  <c r="D10" i="8"/>
  <c r="L11" i="8"/>
  <c r="H11" i="10"/>
  <c r="H10" i="10"/>
  <c r="L10" i="8"/>
  <c r="H10" i="8"/>
  <c r="L9" i="8"/>
  <c r="H9" i="8"/>
  <c r="L8" i="8"/>
  <c r="H9" i="10"/>
  <c r="H8" i="10"/>
  <c r="H7" i="10"/>
  <c r="L7" i="8"/>
  <c r="H7" i="8"/>
  <c r="D14" i="9"/>
  <c r="D15" i="9"/>
  <c r="K11" i="14"/>
  <c r="L11" i="6"/>
  <c r="H6" i="10"/>
  <c r="H11" i="5"/>
  <c r="G11" i="14"/>
  <c r="H13" i="5"/>
  <c r="G13" i="14"/>
  <c r="H13" i="14" s="1"/>
  <c r="H9" i="5"/>
  <c r="H12" i="5"/>
  <c r="G12" i="14"/>
  <c r="H12" i="14" s="1"/>
  <c r="D11" i="8"/>
  <c r="H11" i="8"/>
  <c r="H6" i="8"/>
  <c r="D6" i="8"/>
  <c r="L6" i="8"/>
  <c r="D8" i="8"/>
  <c r="H8" i="8"/>
  <c r="D13" i="8"/>
  <c r="L13" i="8"/>
  <c r="D16" i="14"/>
  <c r="D9" i="8"/>
  <c r="D14" i="8"/>
  <c r="D12" i="8"/>
  <c r="D15" i="14"/>
  <c r="H10" i="5"/>
  <c r="H7" i="5"/>
  <c r="D7" i="8"/>
  <c r="D12" i="14"/>
  <c r="D14" i="14"/>
  <c r="D13" i="14"/>
  <c r="H14" i="10"/>
  <c r="D15" i="10"/>
  <c r="D16" i="10"/>
  <c r="H15" i="5"/>
  <c r="H16" i="5"/>
  <c r="H15" i="10"/>
  <c r="H8" i="5"/>
  <c r="C17" i="14" l="1"/>
  <c r="D17" i="14" s="1"/>
  <c r="L10" i="14"/>
  <c r="L7" i="14"/>
  <c r="H10" i="14"/>
  <c r="L9" i="14"/>
  <c r="L8" i="14"/>
  <c r="L11" i="14"/>
  <c r="H8" i="14"/>
  <c r="B10" i="14"/>
  <c r="D10" i="14" s="1"/>
  <c r="H17" i="14"/>
  <c r="B11" i="14"/>
  <c r="D11" i="14" s="1"/>
  <c r="B9" i="14"/>
  <c r="D9" i="14" s="1"/>
  <c r="H9" i="14"/>
  <c r="H7" i="14"/>
  <c r="J18" i="14"/>
  <c r="L18" i="14" s="1"/>
  <c r="F18" i="14"/>
  <c r="L6" i="14"/>
  <c r="B8" i="14"/>
  <c r="D8" i="14" s="1"/>
  <c r="H11" i="14"/>
  <c r="B7" i="14"/>
  <c r="D7" i="14" s="1"/>
  <c r="H6" i="14"/>
  <c r="B6" i="14"/>
  <c r="D6" i="14" s="1"/>
  <c r="D18" i="14" l="1"/>
  <c r="H18" i="14"/>
  <c r="F18" i="10"/>
  <c r="H18" i="10" s="1"/>
  <c r="H16" i="10"/>
</calcChain>
</file>

<file path=xl/sharedStrings.xml><?xml version="1.0" encoding="utf-8"?>
<sst xmlns="http://schemas.openxmlformats.org/spreadsheetml/2006/main" count="260" uniqueCount="55">
  <si>
    <t>Long Beach -LGB</t>
  </si>
  <si>
    <t>Los Angeles - LAX</t>
  </si>
  <si>
    <t>San Francisco- SFO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</si>
  <si>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</si>
  <si>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</si>
  <si>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</si>
  <si>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</si>
  <si>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</si>
  <si>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</si>
  <si>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</si>
  <si>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</si>
  <si>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</si>
  <si>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</si>
  <si>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</si>
  <si>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</si>
  <si>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Domestic</t>
  </si>
  <si>
    <t>International</t>
  </si>
  <si>
    <t>Burbank- Bob Hope</t>
  </si>
  <si>
    <t>Oakland- OAK</t>
  </si>
  <si>
    <t>Ontario-ONT</t>
  </si>
  <si>
    <t>Sacramento-SMF</t>
  </si>
  <si>
    <t>San Diego-SAN</t>
  </si>
  <si>
    <t>San Jose-SJC</t>
  </si>
  <si>
    <t>Orange County Santa Ana/John Wayne- SNA</t>
  </si>
  <si>
    <t>Long Beach-LGB</t>
  </si>
  <si>
    <t>Oakland-OAK</t>
  </si>
  <si>
    <t>San Francisco-SFO</t>
  </si>
  <si>
    <t>Los Angeles-LAX</t>
  </si>
  <si>
    <t>YTD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</si>
  <si>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</si>
  <si>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i/>
        <sz val="14"/>
        <color theme="9" tint="-0.249977111117893"/>
        <rFont val="Calibri"/>
        <family val="2"/>
        <scheme val="minor"/>
      </rPr>
      <t>Highest</t>
    </r>
    <r>
      <rPr>
        <b/>
        <i/>
        <sz val="14"/>
        <color theme="1"/>
        <rFont val="Calibri"/>
        <family val="2"/>
        <scheme val="minor"/>
      </rPr>
      <t xml:space="preserve"> and</t>
    </r>
    <r>
      <rPr>
        <b/>
        <i/>
        <sz val="14"/>
        <color theme="4" tint="-0.249977111117893"/>
        <rFont val="Calibri"/>
        <family val="2"/>
        <scheme val="minor"/>
      </rPr>
      <t xml:space="preserve"> lowest</t>
    </r>
    <r>
      <rPr>
        <b/>
        <i/>
        <sz val="14"/>
        <color theme="1"/>
        <rFont val="Calibri"/>
        <family val="2"/>
        <scheme val="minor"/>
      </rPr>
      <t xml:space="preserve"> travel months in ranking of busiest to slowest airports</t>
    </r>
  </si>
  <si>
    <t>Highest traveled month:</t>
  </si>
  <si>
    <t>Lowest traveled month:</t>
  </si>
  <si>
    <t>(out of 10 airports)</t>
  </si>
  <si>
    <t>Orange County- SNA</t>
  </si>
  <si>
    <t xml:space="preserve">YTD </t>
  </si>
  <si>
    <t>DATA TO BE COMPILED AT A LATER DATE</t>
  </si>
  <si>
    <t>Source: Long Beach Airport</t>
  </si>
  <si>
    <t>Source: LAWA</t>
  </si>
  <si>
    <t>Source: John Wayne Airport</t>
  </si>
  <si>
    <t>Source: Oakland International Airport</t>
  </si>
  <si>
    <t>Source: San Francisco International Airport</t>
  </si>
  <si>
    <t>Source: Sacramento International Airport</t>
  </si>
  <si>
    <t>Source: San Diego International Airport</t>
  </si>
  <si>
    <t>Source: Bob Hope Airport</t>
  </si>
  <si>
    <t>Sources:  Individual airports</t>
  </si>
  <si>
    <t>Note:  Monthly figures may not sum to YTD totals due to data revisions</t>
  </si>
  <si>
    <t>YTD *</t>
  </si>
  <si>
    <t>Total</t>
  </si>
  <si>
    <t>YOY % change</t>
  </si>
  <si>
    <t xml:space="preserve">Note:  Monthly figures may not sum to YTD totals due to data revisions. </t>
  </si>
  <si>
    <t xml:space="preserve">CALIFORNIA </t>
  </si>
  <si>
    <t>The domestic/international breakdown is unavailable on the OAK website for certain months.</t>
  </si>
  <si>
    <t>Source:  San Jose Mineta International Airport</t>
  </si>
  <si>
    <t>Source: Ontario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</si>
</sst>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9" tint="-0.249977111117893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4"/>
      <color theme="1"/>
      <name val="Verdana"/>
      <family val="2"/>
    </font>
    <font>
      <b/>
      <sz val="14"/>
      <color theme="1"/>
      <name val="Verdana"/>
      <family val="2"/>
    </font>
    <font>
      <b/>
      <sz val="20"/>
      <color theme="1"/>
      <name val="Verdana"/>
      <family val="2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C60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thin">
        <color rgb="FF003399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7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7" fillId="0" borderId="4" xfId="0" applyFont="1" applyBorder="1"/>
    <xf numFmtId="0" fontId="7" fillId="0" borderId="0" xfId="0" applyFont="1"/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37" fontId="6" fillId="4" borderId="1" xfId="0" applyNumberFormat="1" applyFont="1" applyFill="1" applyBorder="1" applyAlignment="1">
      <alignment horizontal="center"/>
    </xf>
    <xf numFmtId="3" fontId="0" fillId="3" borderId="3" xfId="0" applyNumberFormat="1" applyFill="1" applyBorder="1" applyAlignment="1">
      <alignment horizontal="center" wrapText="1"/>
    </xf>
    <xf numFmtId="3" fontId="0" fillId="4" borderId="3" xfId="0" applyNumberFormat="1" applyFill="1" applyBorder="1" applyAlignment="1">
      <alignment horizontal="center" wrapText="1"/>
    </xf>
    <xf numFmtId="0" fontId="5" fillId="0" borderId="0" xfId="0" applyFont="1"/>
    <xf numFmtId="16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11" fillId="0" borderId="0" xfId="0" applyFont="1"/>
    <xf numFmtId="0" fontId="12" fillId="0" borderId="0" xfId="0" applyFont="1"/>
    <xf numFmtId="0" fontId="11" fillId="0" borderId="4" xfId="0" applyFont="1" applyBorder="1"/>
    <xf numFmtId="0" fontId="1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4" fillId="0" borderId="1" xfId="0" applyFont="1" applyBorder="1"/>
    <xf numFmtId="3" fontId="16" fillId="0" borderId="0" xfId="0" applyNumberFormat="1" applyFont="1"/>
    <xf numFmtId="0" fontId="16" fillId="0" borderId="0" xfId="0" applyFont="1" applyAlignment="1">
      <alignment horizontal="center"/>
    </xf>
    <xf numFmtId="0" fontId="0" fillId="2" borderId="0" xfId="0" applyFill="1"/>
    <xf numFmtId="3" fontId="0" fillId="0" borderId="0" xfId="0" applyNumberFormat="1" applyAlignment="1">
      <alignment horizontal="center"/>
    </xf>
    <xf numFmtId="0" fontId="16" fillId="9" borderId="1" xfId="0" applyFont="1" applyFill="1" applyBorder="1" applyAlignment="1">
      <alignment horizontal="center"/>
    </xf>
    <xf numFmtId="164" fontId="16" fillId="0" borderId="1" xfId="2" applyNumberFormat="1" applyFont="1" applyBorder="1"/>
    <xf numFmtId="0" fontId="3" fillId="0" borderId="0" xfId="0" applyFont="1"/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16" fillId="0" borderId="1" xfId="2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64" fontId="16" fillId="0" borderId="1" xfId="2" applyNumberFormat="1" applyFont="1" applyBorder="1" applyAlignment="1">
      <alignment horizontal="center"/>
    </xf>
    <xf numFmtId="164" fontId="16" fillId="9" borderId="1" xfId="2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9" fontId="16" fillId="0" borderId="1" xfId="3" applyFont="1" applyBorder="1" applyAlignment="1">
      <alignment horizontal="center" vertical="center"/>
    </xf>
    <xf numFmtId="9" fontId="16" fillId="0" borderId="1" xfId="3" applyFont="1" applyBorder="1" applyAlignment="1">
      <alignment horizontal="center"/>
    </xf>
    <xf numFmtId="9" fontId="16" fillId="9" borderId="1" xfId="3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16" fillId="7" borderId="1" xfId="3" applyFont="1" applyFill="1" applyBorder="1" applyAlignment="1">
      <alignment horizontal="center" vertical="center"/>
    </xf>
    <xf numFmtId="9" fontId="16" fillId="9" borderId="1" xfId="3" applyFont="1" applyFill="1" applyBorder="1" applyAlignment="1">
      <alignment horizontal="center" vertical="center"/>
    </xf>
    <xf numFmtId="164" fontId="16" fillId="7" borderId="1" xfId="2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64" fontId="16" fillId="0" borderId="1" xfId="2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5" fontId="16" fillId="0" borderId="1" xfId="3" applyNumberFormat="1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center"/>
    </xf>
    <xf numFmtId="9" fontId="16" fillId="2" borderId="1" xfId="3" applyFont="1" applyFill="1" applyBorder="1" applyAlignment="1">
      <alignment horizontal="center" vertical="center"/>
    </xf>
    <xf numFmtId="3" fontId="16" fillId="0" borderId="1" xfId="2" applyNumberFormat="1" applyFont="1" applyBorder="1" applyAlignment="1">
      <alignment horizontal="center" vertical="center"/>
    </xf>
    <xf numFmtId="3" fontId="16" fillId="7" borderId="1" xfId="2" applyNumberFormat="1" applyFont="1" applyFill="1" applyBorder="1" applyAlignment="1">
      <alignment horizontal="center" vertical="center"/>
    </xf>
    <xf numFmtId="3" fontId="16" fillId="0" borderId="1" xfId="2" applyNumberFormat="1" applyFont="1" applyFill="1" applyBorder="1" applyAlignment="1">
      <alignment horizontal="center" vertical="center"/>
    </xf>
    <xf numFmtId="3" fontId="16" fillId="0" borderId="1" xfId="2" applyNumberFormat="1" applyFont="1" applyBorder="1" applyAlignment="1">
      <alignment horizontal="center"/>
    </xf>
    <xf numFmtId="3" fontId="16" fillId="9" borderId="1" xfId="2" applyNumberFormat="1" applyFont="1" applyFill="1" applyBorder="1" applyAlignment="1">
      <alignment horizontal="center"/>
    </xf>
    <xf numFmtId="164" fontId="16" fillId="0" borderId="0" xfId="0" applyNumberFormat="1" applyFont="1"/>
    <xf numFmtId="3" fontId="16" fillId="0" borderId="1" xfId="2" applyNumberFormat="1" applyFont="1" applyBorder="1" applyAlignment="1">
      <alignment horizontal="right"/>
    </xf>
    <xf numFmtId="3" fontId="16" fillId="9" borderId="1" xfId="2" applyNumberFormat="1" applyFont="1" applyFill="1" applyBorder="1" applyAlignment="1">
      <alignment horizontal="right"/>
    </xf>
    <xf numFmtId="164" fontId="16" fillId="9" borderId="1" xfId="2" applyNumberFormat="1" applyFont="1" applyFill="1" applyBorder="1" applyAlignment="1">
      <alignment horizontal="right"/>
    </xf>
    <xf numFmtId="164" fontId="16" fillId="0" borderId="1" xfId="2" applyNumberFormat="1" applyFont="1" applyBorder="1" applyAlignment="1">
      <alignment horizontal="right"/>
    </xf>
    <xf numFmtId="0" fontId="16" fillId="10" borderId="1" xfId="0" applyFont="1" applyFill="1" applyBorder="1" applyAlignment="1">
      <alignment horizontal="center"/>
    </xf>
    <xf numFmtId="0" fontId="16" fillId="10" borderId="1" xfId="0" applyFont="1" applyFill="1" applyBorder="1"/>
    <xf numFmtId="164" fontId="16" fillId="10" borderId="1" xfId="2" applyNumberFormat="1" applyFont="1" applyFill="1" applyBorder="1" applyAlignment="1">
      <alignment horizontal="center"/>
    </xf>
    <xf numFmtId="164" fontId="16" fillId="10" borderId="1" xfId="2" applyNumberFormat="1" applyFont="1" applyFill="1" applyBorder="1"/>
    <xf numFmtId="3" fontId="2" fillId="0" borderId="0" xfId="0" applyNumberFormat="1" applyFont="1" applyAlignment="1">
      <alignment horizontal="center" vertical="center"/>
    </xf>
    <xf numFmtId="43" fontId="16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164" fontId="16" fillId="0" borderId="1" xfId="2" applyNumberFormat="1" applyFont="1" applyFill="1" applyBorder="1" applyAlignment="1">
      <alignment horizontal="center"/>
    </xf>
    <xf numFmtId="164" fontId="16" fillId="0" borderId="0" xfId="2" applyNumberFormat="1" applyFont="1" applyFill="1" applyBorder="1" applyAlignment="1">
      <alignment horizontal="center"/>
    </xf>
    <xf numFmtId="0" fontId="21" fillId="8" borderId="0" xfId="0" applyFont="1" applyFill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9" defaultPivotStyle="PivotStyleLight16"/>
  <colors>
    <mruColors>
      <color rgb="FFFDF4D3"/>
      <color rgb="FFFDEDA9"/>
      <color rgb="FFF7C60F"/>
      <color rgb="FFF7E131"/>
      <color rgb="FFFFFC00"/>
      <color rgb="FFFFCC66"/>
      <color rgb="FF397DCF"/>
      <color rgb="FFE6AF00"/>
      <color rgb="FFA7FBFF"/>
      <color rgb="FFFBA9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AX23"/>
  <sheetViews>
    <sheetView tabSelected="1" zoomScaleNormal="100" zoomScaleSheetLayoutView="90" workbookViewId="0">
      <selection activeCell="H26" sqref="H26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2" width="13.83203125" style="25" customWidth="1"/>
    <col min="14" max="14" width="9.33203125" customWidth="1"/>
  </cols>
  <sheetData>
    <row r="1" spans="1:50" ht="35" customHeight="1" x14ac:dyDescent="0.2">
      <c r="A1" s="82" t="s">
        <v>51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7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63">
        <f>F6+J6</f>
        <v>15668923</v>
      </c>
      <c r="C6" s="63">
        <v>15697415</v>
      </c>
      <c r="D6" s="47">
        <f>B6/C6-1</f>
        <v>-1.8150759217361312E-3</v>
      </c>
      <c r="E6" s="28"/>
      <c r="F6" s="44">
        <f>'Los Angeles'!F6+Burbank!F6+'Long Beach'!F6+Ontario!F6+'Orange County'!F6+Oakland!F6+Sacramento!F6+'San Diego'!F6+'San Jose'!F6+'San Francisco'!F6</f>
        <v>12189130</v>
      </c>
      <c r="G6" s="44">
        <f>'Los Angeles'!G6+Burbank!G6+'Long Beach'!G6+Ontario!G6+'Orange County'!G6+Oakland!G6+Sacramento!G6+'San Diego'!G6+'San Jose'!G6+'San Francisco'!G6</f>
        <v>12383053</v>
      </c>
      <c r="H6" s="47">
        <f>F6/G6-1</f>
        <v>-1.5660354518388986E-2</v>
      </c>
      <c r="I6" s="28"/>
      <c r="J6" s="44">
        <f>'Los Angeles'!J6+Ontario!J6+'Orange County'!J6+Oakland!J6+Sacramento!J6+'San Diego'!J6+'San Jose'!J6+'San Francisco'!J6</f>
        <v>3479793</v>
      </c>
      <c r="K6" s="44">
        <f>'Los Angeles'!K6+Ontario!K6+'Orange County'!K6+Oakland!K6+Sacramento!K6+'San Diego'!K6+'San Jose'!K6+'San Francisco'!K6</f>
        <v>3314362</v>
      </c>
      <c r="L6" s="47">
        <f t="shared" ref="L6:L18" si="0">J6/K6-1</f>
        <v>4.99133769938227E-2</v>
      </c>
    </row>
    <row r="7" spans="1:50" ht="25" customHeight="1" x14ac:dyDescent="0.25">
      <c r="A7" s="59" t="s">
        <v>4</v>
      </c>
      <c r="B7" s="64">
        <f>F7+J7</f>
        <v>14341849</v>
      </c>
      <c r="C7" s="64">
        <v>14953150</v>
      </c>
      <c r="D7" s="52">
        <f>B7/C7-1</f>
        <v>-4.0881085256283756E-2</v>
      </c>
      <c r="E7" s="78"/>
      <c r="F7" s="45">
        <f>'Los Angeles'!F7+Burbank!F7+'Long Beach'!F7+Ontario!F7+'Orange County'!F7+Oakland!F7+Sacramento!F7+'San Diego'!F7+'San Jose'!F7+'San Francisco'!F7</f>
        <v>11474708</v>
      </c>
      <c r="G7" s="45">
        <f>'Los Angeles'!G7+Burbank!G7+'Long Beach'!G7+Ontario!G7+'Orange County'!G7+Oakland!G7+Sacramento!G7+'San Diego'!G7+'San Jose'!G7+'San Francisco'!G7</f>
        <v>12054010</v>
      </c>
      <c r="H7" s="53">
        <f>F7/G7-1</f>
        <v>-4.805886173978613E-2</v>
      </c>
      <c r="I7" s="28"/>
      <c r="J7" s="45">
        <f>'Los Angeles'!J7+Ontario!J7+'Orange County'!J7+Oakland!J7+Sacramento!J7+'San Diego'!J7+'San Jose'!J7+'San Francisco'!J7</f>
        <v>2867141</v>
      </c>
      <c r="K7" s="45">
        <f>'Los Angeles'!K7+Ontario!K7+'Orange County'!K7+Oakland!K7+Sacramento!K7+'San Diego'!K7+'San Jose'!K7+'San Francisco'!K7</f>
        <v>2899140</v>
      </c>
      <c r="L7" s="53">
        <f t="shared" si="0"/>
        <v>-1.1037411094324545E-2</v>
      </c>
      <c r="N7" s="2"/>
      <c r="O7" s="2"/>
    </row>
    <row r="8" spans="1:50" ht="25" customHeight="1" x14ac:dyDescent="0.25">
      <c r="A8" s="58" t="s">
        <v>5</v>
      </c>
      <c r="B8" s="63">
        <f>F8+J8</f>
        <v>17434379</v>
      </c>
      <c r="C8" s="63">
        <v>17670880</v>
      </c>
      <c r="D8" s="47">
        <f t="shared" ref="D8:D17" si="1">B8/C8-1</f>
        <v>-1.3383657180627062E-2</v>
      </c>
      <c r="E8" s="28"/>
      <c r="F8" s="44">
        <f>'Los Angeles'!F8+Burbank!F8+'Long Beach'!F8+Ontario!F8+'Orange County'!F8+Oakland!F8+Sacramento!F8+'San Diego'!F8+'San Jose'!F8+'San Francisco'!F8</f>
        <v>14013509</v>
      </c>
      <c r="G8" s="44">
        <f>'Los Angeles'!G8+Burbank!G8+'Long Beach'!G8+Ontario!G8+'Orange County'!G8+Oakland!G8+Sacramento!G8+'San Diego'!G8+'San Jose'!G8+'San Francisco'!G8</f>
        <v>14197942</v>
      </c>
      <c r="H8" s="47">
        <f t="shared" ref="H8:H17" si="2">F8/G8-1</f>
        <v>-1.2990122089525324E-2</v>
      </c>
      <c r="I8" s="28"/>
      <c r="J8" s="44">
        <f>'Los Angeles'!J8+Ontario!J8+'Orange County'!J8+Oakland!J8+Sacramento!J8+'San Diego'!J8+'San Jose'!J8+'San Francisco'!J8</f>
        <v>3420870</v>
      </c>
      <c r="K8" s="44">
        <f>'Los Angeles'!K8+Ontario!K8+'Orange County'!K8+Oakland!K8+Sacramento!K8+'San Diego'!K8+'San Jose'!K8+'San Francisco'!K8</f>
        <v>3472938</v>
      </c>
      <c r="L8" s="47">
        <f t="shared" si="0"/>
        <v>-1.4992493387443129E-2</v>
      </c>
      <c r="N8" s="2"/>
      <c r="O8" s="2"/>
    </row>
    <row r="9" spans="1:50" ht="25" customHeight="1" x14ac:dyDescent="0.25">
      <c r="A9" s="59" t="s">
        <v>6</v>
      </c>
      <c r="B9" s="64">
        <f t="shared" ref="B9" si="3">F9+J9</f>
        <v>17734772</v>
      </c>
      <c r="C9" s="64">
        <v>17740047</v>
      </c>
      <c r="D9" s="52">
        <f t="shared" si="1"/>
        <v>-2.9734983227491796E-4</v>
      </c>
      <c r="E9" s="28"/>
      <c r="F9" s="45">
        <f>'Los Angeles'!F9+Burbank!F9+'Long Beach'!F9+Ontario!F9+'Orange County'!F9+Oakland!F9+Sacramento!F9+'San Diego'!F9+'San Jose'!F9+'San Francisco'!F9</f>
        <v>14172456</v>
      </c>
      <c r="G9" s="45">
        <f>'Los Angeles'!G9+Burbank!G9+'Long Beach'!G9+Ontario!G9+'Orange County'!G9+Oakland!G9+Sacramento!G9+'San Diego'!G9+'San Jose'!G9+'San Francisco'!G9</f>
        <v>14280379</v>
      </c>
      <c r="H9" s="53">
        <f t="shared" si="2"/>
        <v>-7.5574324743061805E-3</v>
      </c>
      <c r="I9" s="28"/>
      <c r="J9" s="45">
        <f>'Los Angeles'!J9+Ontario!J9+'Orange County'!J9+Oakland!J9+Sacramento!J9+'San Diego'!J9+'San Jose'!J9+'San Francisco'!J9</f>
        <v>3562316</v>
      </c>
      <c r="K9" s="45">
        <f>'Los Angeles'!K9+Ontario!K9+'Orange County'!K9+Oakland!K9+Sacramento!K9+'San Diego'!K9+'San Jose'!K9+'San Francisco'!K9</f>
        <v>3412146</v>
      </c>
      <c r="L9" s="53">
        <f t="shared" si="0"/>
        <v>4.4010426283048742E-2</v>
      </c>
      <c r="N9" s="2"/>
    </row>
    <row r="10" spans="1:50" ht="25" customHeight="1" x14ac:dyDescent="0.25">
      <c r="A10" s="58" t="s">
        <v>7</v>
      </c>
      <c r="B10" s="63">
        <f>F10+J10</f>
        <v>18994856</v>
      </c>
      <c r="C10" s="63">
        <v>19113002</v>
      </c>
      <c r="D10" s="47">
        <f>B10/C10-1</f>
        <v>-6.1814465357142856E-3</v>
      </c>
      <c r="E10" s="78"/>
      <c r="F10" s="44">
        <f>'Los Angeles'!F10+Burbank!F10+'Long Beach'!F10+Ontario!F10+'Orange County'!F10+Oakland!F10+Sacramento!F10+'San Diego'!F10+'San Jose'!F10+'San Francisco'!F10</f>
        <v>15299389</v>
      </c>
      <c r="G10" s="44">
        <f>'Los Angeles'!G10+Burbank!G10+'Long Beach'!G10+Ontario!G10+'Orange County'!G10+Oakland!J10+Sacramento!G10+'San Diego'!G10+'San Jose'!G10+'San Francisco'!G10</f>
        <v>14524384</v>
      </c>
      <c r="H10" s="47">
        <f t="shared" si="2"/>
        <v>5.3358889437238766E-2</v>
      </c>
      <c r="I10" s="28"/>
      <c r="J10" s="44">
        <f>'Los Angeles'!J10+Ontario!J10+'Orange County'!J10+Oakland!J10+Sacramento!J10+'San Diego'!J10+'San Jose'!J10+'San Francisco'!J10</f>
        <v>3695467</v>
      </c>
      <c r="K10" s="44">
        <f>'Los Angeles'!K10+Ontario!K10+'Orange County'!K10+Oakland!K10+Sacramento!K10+'San Diego'!K10+'San Jose'!K10+'San Francisco'!K10</f>
        <v>3702789</v>
      </c>
      <c r="L10" s="47">
        <f t="shared" si="0"/>
        <v>-1.9774283654834246E-3</v>
      </c>
    </row>
    <row r="11" spans="1:50" ht="25" customHeight="1" x14ac:dyDescent="0.25">
      <c r="A11" s="59" t="s">
        <v>8</v>
      </c>
      <c r="B11" s="64">
        <f>F11+J11</f>
        <v>19954080</v>
      </c>
      <c r="C11" s="64">
        <v>19957375</v>
      </c>
      <c r="D11" s="52">
        <f t="shared" si="1"/>
        <v>-1.6510187336760129E-4</v>
      </c>
      <c r="E11" s="28"/>
      <c r="F11" s="45">
        <f>'Los Angeles'!F11+Burbank!F11+'Long Beach'!F11+Ontario!F11+'Orange County'!F11+Oakland!F11+Sacramento!F11+'San Diego'!F11+'San Jose'!F11+'San Francisco'!F11</f>
        <v>15917371</v>
      </c>
      <c r="G11" s="45">
        <f>'Los Angeles'!G11+Burbank!G11+'Long Beach'!G11+Ontario!G11+'Orange County'!G11+Oakland!G11+Sacramento!G11+'San Diego'!G11+'San Jose'!G11+'San Francisco'!G11</f>
        <v>15918203</v>
      </c>
      <c r="H11" s="53">
        <f t="shared" si="2"/>
        <v>-5.2267206292033741E-5</v>
      </c>
      <c r="I11" s="28"/>
      <c r="J11" s="45">
        <f>'Los Angeles'!J11+Ontario!J11+'Orange County'!J11+Oakland!J11+Sacramento!J11+'San Diego'!J11+'San Jose'!J11+'San Francisco'!J11</f>
        <v>4036709</v>
      </c>
      <c r="K11" s="45">
        <f>'Los Angeles'!K11+Ontario!K11+'Orange County'!K11+Oakland!K11+Sacramento!K11+'San Diego'!K11+'San Jose'!K11+'San Francisco'!K11</f>
        <v>4039172</v>
      </c>
      <c r="L11" s="53">
        <f t="shared" si="0"/>
        <v>-6.0977843973963886E-4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63">
        <f>F12+J12</f>
        <v>20646984</v>
      </c>
      <c r="C12" s="63">
        <v>20822207</v>
      </c>
      <c r="D12" s="47">
        <f>B12/C12-1</f>
        <v>-8.4151982544405923E-3</v>
      </c>
      <c r="E12" s="28"/>
      <c r="F12" s="44">
        <f>'Los Angeles'!F12+Burbank!F12+'Long Beach'!F12+Ontario!F12+'Orange County'!F12+Oakland!F12+Sacramento!F12+'San Diego'!F12+'San Jose'!F12+'San Francisco'!F12</f>
        <v>16375685</v>
      </c>
      <c r="G12" s="44">
        <f>'Los Angeles'!G12+Burbank!G12+'Long Beach'!G12+Ontario!G12+'Orange County'!G12+Oakland!G12+Sacramento!G12+'San Diego'!G12+'San Jose'!G12+'San Francisco'!G12</f>
        <v>16498193</v>
      </c>
      <c r="H12" s="47">
        <f t="shared" si="2"/>
        <v>-7.4255404819182358E-3</v>
      </c>
      <c r="I12" s="28"/>
      <c r="J12" s="44">
        <f>'Los Angeles'!J12+Ontario!J12+'Orange County'!J12+Oakland!J12+Sacramento!J12+'San Diego'!J12+'San Jose'!J12+'San Francisco'!J12</f>
        <v>4271299</v>
      </c>
      <c r="K12" s="44">
        <f>'Los Angeles'!K12+Ontario!K12+'Orange County'!K12+Oakland!K12+Sacramento!K12+'San Diego'!K12+'San Jose'!K12+'San Francisco'!K12</f>
        <v>4324014</v>
      </c>
      <c r="L12" s="47">
        <f t="shared" si="0"/>
        <v>-1.2191218622326416E-2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64">
        <f>F13+J13</f>
        <v>19406379</v>
      </c>
      <c r="C13" s="64">
        <v>19902714</v>
      </c>
      <c r="D13" s="52">
        <f>B13/C13-1</f>
        <v>-2.4938056186708968E-2</v>
      </c>
      <c r="E13" s="28"/>
      <c r="F13" s="45">
        <f>'Los Angeles'!F13+Burbank!F13+'Long Beach'!F13+Ontario!F13+'Orange County'!F13+Oakland!F13+Sacramento!F13+'San Diego'!F13+'San Jose'!F13+'San Francisco'!F13</f>
        <v>15448385</v>
      </c>
      <c r="G13" s="45">
        <f>'Los Angeles'!G13+Burbank!G13+'Long Beach'!G13+Ontario!G13+'Orange County'!G13+Oakland!G13+Sacramento!G13+'San Diego'!G13+'San Jose'!G13+'San Francisco'!G13</f>
        <v>15891606</v>
      </c>
      <c r="H13" s="53">
        <f t="shared" si="2"/>
        <v>-2.7890258542780377E-2</v>
      </c>
      <c r="I13" s="28"/>
      <c r="J13" s="45">
        <f>'Los Angeles'!J13+Ontario!J13+'Orange County'!J13+Oakland!J13+Sacramento!J13+'San Diego'!J13+'San Jose'!J13+'San Francisco'!J13</f>
        <v>3957994</v>
      </c>
      <c r="K13" s="45">
        <f>'Los Angeles'!K13+Ontario!K13+'Orange County'!K13+Oakland!K13+Sacramento!K13+'San Diego'!K13+'San Jose'!K13+'San Francisco'!K13</f>
        <v>4011108</v>
      </c>
      <c r="L13" s="53">
        <f t="shared" si="0"/>
        <v>-1.3241727722115737E-2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63">
        <f t="shared" ref="B14:B17" si="4">F14+J14</f>
        <v>17474756</v>
      </c>
      <c r="C14" s="63">
        <v>18034193</v>
      </c>
      <c r="D14" s="47">
        <f t="shared" si="1"/>
        <v>-3.1020905676234056E-2</v>
      </c>
      <c r="E14" s="28"/>
      <c r="F14" s="63">
        <f>'Los Angeles'!F14+Burbank!F14+'Long Beach'!F14+Ontario!F14+'Orange County'!F14+Oakland!F14+Sacramento!F14+'San Diego'!F14+'San Jose'!F14+'San Francisco'!F14</f>
        <v>14084860</v>
      </c>
      <c r="G14" s="44">
        <f>'Los Angeles'!G14+Burbank!G14+'Long Beach'!G14+Ontario!G14+'Orange County'!G14+Oakland!G14+Sacramento!G14+'San Diego'!G14+'San Jose'!G14+'San Francisco'!G14</f>
        <v>14492760</v>
      </c>
      <c r="H14" s="47">
        <f t="shared" si="2"/>
        <v>-2.8145087616161413E-2</v>
      </c>
      <c r="I14" s="46"/>
      <c r="J14" s="63">
        <f>'Los Angeles'!J14+Ontario!J14+'Orange County'!J14+Oakland!J14+Sacramento!J14+'San Diego'!J14+'San Jose'!J14+'San Francisco'!J14</f>
        <v>3389896</v>
      </c>
      <c r="K14" s="44">
        <f>'Los Angeles'!K14+Ontario!K14+'Orange County'!K14+Oakland!K14+Sacramento!K14+'San Diego'!K14+'San Jose'!K14+'San Francisco'!K14</f>
        <v>3541433</v>
      </c>
      <c r="L14" s="47">
        <f t="shared" si="0"/>
        <v>-4.2789740763131801E-2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64">
        <f t="shared" si="4"/>
        <v>18813147</v>
      </c>
      <c r="C15" s="64">
        <v>18969181</v>
      </c>
      <c r="D15" s="52">
        <f t="shared" si="1"/>
        <v>-8.2256582400684897E-3</v>
      </c>
      <c r="F15" s="45">
        <f>'Los Angeles'!F15+Burbank!F15+'Long Beach'!F15+Ontario!F15+'Orange County'!F15+Oakland!F15+Sacramento!F15+'San Diego'!F15+'San Jose'!F15+'San Francisco'!F15</f>
        <v>15259846</v>
      </c>
      <c r="G15" s="45">
        <f>'Los Angeles'!G15+Burbank!G15+'Long Beach'!G15+Ontario!G15+'Orange County'!G15+Oakland!G15+Sacramento!G15+'San Diego'!G15+'San Jose'!G15+'San Francisco'!G15</f>
        <v>15419141</v>
      </c>
      <c r="H15" s="53">
        <f t="shared" si="2"/>
        <v>-1.0330990552586572E-2</v>
      </c>
      <c r="J15" s="45">
        <f>'Los Angeles'!J15+Ontario!J15+'Orange County'!J15+Oakland!J15+Sacramento!J15+'San Diego'!J15+'San Jose'!J15+'San Francisco'!J15</f>
        <v>3553301</v>
      </c>
      <c r="K15" s="45">
        <f>'Los Angeles'!K15+Ontario!K15+'Orange County'!K15+Oakland!K15+Sacramento!K15+'San Diego'!K15+'San Jose'!K15+'San Francisco'!K15</f>
        <v>3550040</v>
      </c>
      <c r="L15" s="53">
        <f t="shared" si="0"/>
        <v>9.1858119908505564E-4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63">
        <f t="shared" si="4"/>
        <v>17015175</v>
      </c>
      <c r="C16" s="63">
        <v>17455654</v>
      </c>
      <c r="D16" s="47">
        <f t="shared" si="1"/>
        <v>-2.5234173408799188E-2</v>
      </c>
      <c r="F16" s="63">
        <f>'Los Angeles'!F16+Burbank!F16+'Long Beach'!F16+Ontario!F16+'Orange County'!F16+Oakland!F16+Sacramento!F16+'San Diego'!F16+'San Jose'!F16+'San Francisco'!F16</f>
        <v>13737762</v>
      </c>
      <c r="G16" s="44">
        <f>'Los Angeles'!G16+Burbank!G16+'Long Beach'!G16+Ontario!G16+'Orange County'!G16+Oakland!G16+Sacramento!G16+'San Diego'!G16+'San Jose'!G16+'San Francisco'!G16</f>
        <v>14216508</v>
      </c>
      <c r="H16" s="47">
        <f t="shared" si="2"/>
        <v>-3.3675358252532872E-2</v>
      </c>
      <c r="J16" s="63">
        <f>'Los Angeles'!J16+Ontario!J16+'Orange County'!J16+Oakland!J16+Sacramento!J16+'San Diego'!J16+'San Jose'!J16+'San Francisco'!J16</f>
        <v>3277413</v>
      </c>
      <c r="K16" s="44">
        <f>'Los Angeles'!K16+Ontario!K16+'Orange County'!K16+Oakland!K16+Sacramento!K16+'San Diego'!K16+'San Jose'!K16+'San Francisco'!K16</f>
        <v>3239146</v>
      </c>
      <c r="L16" s="47">
        <f t="shared" si="0"/>
        <v>1.1813916384133316E-2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64">
        <f t="shared" si="4"/>
        <v>18184377</v>
      </c>
      <c r="C17" s="64">
        <f>G17+K17</f>
        <v>18785264</v>
      </c>
      <c r="D17" s="52">
        <f t="shared" si="1"/>
        <v>-3.1987146946670486E-2</v>
      </c>
      <c r="F17" s="45">
        <f>'Los Angeles'!F17+Burbank!F17+'Long Beach'!F17+Ontario!F17+'Orange County'!F17+Oakland!F17+Sacramento!F17+'San Diego'!F17+'San Jose'!F17+'San Francisco'!F17</f>
        <v>14480145</v>
      </c>
      <c r="G17" s="45">
        <f>'Los Angeles'!G17+Burbank!G17+'Long Beach'!G17+Ontario!G17+'Orange County'!G17+Oakland!G17+Sacramento!G17+'San Diego'!G17+'San Jose'!G17+'San Francisco'!G17</f>
        <v>15134485</v>
      </c>
      <c r="H17" s="53">
        <f t="shared" si="2"/>
        <v>-4.3235035747830164E-2</v>
      </c>
      <c r="J17" s="45">
        <f>'Los Angeles'!J17+Ontario!J17+'Orange County'!J17+Oakland!J17+Sacramento!J17+'San Diego'!J17+'San Jose'!J17+'San Francisco'!J17</f>
        <v>3704232</v>
      </c>
      <c r="K17" s="45">
        <f>'Los Angeles'!K17+Ontario!K17+'Orange County'!K17+Oakland!K17+Sacramento!K17+'San Diego'!K17+'San Jose'!K17+'San Francisco'!K17</f>
        <v>3650779</v>
      </c>
      <c r="L17" s="53">
        <f t="shared" si="0"/>
        <v>1.4641532670150781E-2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47</v>
      </c>
      <c r="B18" s="40">
        <f>SUM(B6:B17)</f>
        <v>215669677</v>
      </c>
      <c r="C18" s="40">
        <f>SUM(C6:C17)</f>
        <v>219101082</v>
      </c>
      <c r="D18" s="47">
        <f>B18/C18-1</f>
        <v>-1.5661287332209506E-2</v>
      </c>
      <c r="F18" s="40">
        <f>SUM(F6:F17)</f>
        <v>172453246</v>
      </c>
      <c r="G18" s="40">
        <f>SUM(G6:G17)</f>
        <v>175010664</v>
      </c>
      <c r="H18" s="47">
        <f>F18/G18-1</f>
        <v>-1.4612926672856963E-2</v>
      </c>
      <c r="J18" s="40">
        <f>SUM(J6:J17)</f>
        <v>43216431</v>
      </c>
      <c r="K18" s="40">
        <f>SUM(K6:K17)</f>
        <v>43157067</v>
      </c>
      <c r="L18" s="47">
        <f t="shared" si="0"/>
        <v>1.3755336988030553E-3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45</v>
      </c>
      <c r="H20" s="42"/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  <c r="L21" s="30"/>
    </row>
    <row r="23" spans="1:50" x14ac:dyDescent="0.25">
      <c r="D23" s="41"/>
    </row>
  </sheetData>
  <mergeCells count="4">
    <mergeCell ref="A1:L1"/>
    <mergeCell ref="F3:H3"/>
    <mergeCell ref="J3:L3"/>
    <mergeCell ref="B3:D3"/>
  </mergeCells>
  <phoneticPr fontId="18" type="noConversion"/>
  <pageMargins left="0.25" right="0.25" top="0.75" bottom="0.75" header="0.3" footer="0.3"/>
  <pageSetup scale="71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A1:AX23"/>
  <sheetViews>
    <sheetView topLeftCell="A2" zoomScaleNormal="100" zoomScaleSheetLayoutView="90" workbookViewId="0">
      <selection activeCell="G19" sqref="G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2" width="13.83203125" style="25" customWidth="1"/>
    <col min="14" max="14" width="9.33203125" customWidth="1"/>
  </cols>
  <sheetData>
    <row r="1" spans="1:50" ht="35" customHeight="1" x14ac:dyDescent="0.2">
      <c r="A1" s="82" t="s">
        <v>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44">
        <v>5503062</v>
      </c>
      <c r="C6" s="39">
        <v>5671187</v>
      </c>
      <c r="D6" s="62">
        <f>B6/C6-1</f>
        <v>-2.9645469281827541E-2</v>
      </c>
      <c r="E6" s="28"/>
      <c r="F6" s="39">
        <v>3584089</v>
      </c>
      <c r="G6" s="44">
        <v>3784452</v>
      </c>
      <c r="H6" s="47">
        <f>F6/G6-1</f>
        <v>-5.2943728708938598E-2</v>
      </c>
      <c r="I6" s="28"/>
      <c r="J6" s="44">
        <v>1918973</v>
      </c>
      <c r="K6" s="44">
        <v>1886735</v>
      </c>
      <c r="L6" s="47">
        <f>J6/K6-1</f>
        <v>1.7086660288805788E-2</v>
      </c>
    </row>
    <row r="7" spans="1:50" ht="25" customHeight="1" x14ac:dyDescent="0.25">
      <c r="A7" s="59" t="s">
        <v>4</v>
      </c>
      <c r="B7" s="54">
        <v>4910372</v>
      </c>
      <c r="C7" s="54">
        <v>5282757</v>
      </c>
      <c r="D7" s="52">
        <f>B7/C7-1</f>
        <v>-7.0490654784992057E-2</v>
      </c>
      <c r="E7" s="28"/>
      <c r="F7" s="45">
        <v>3329110</v>
      </c>
      <c r="G7" s="45">
        <v>3643579</v>
      </c>
      <c r="H7" s="53">
        <f>F7/G7-1</f>
        <v>-8.6307721062175435E-2</v>
      </c>
      <c r="I7" s="28"/>
      <c r="J7" s="45">
        <v>1581262</v>
      </c>
      <c r="K7" s="45">
        <v>1639178</v>
      </c>
      <c r="L7" s="53">
        <f>J7/K7-1</f>
        <v>-3.533234340626823E-2</v>
      </c>
      <c r="N7" s="2"/>
      <c r="O7" s="2"/>
    </row>
    <row r="8" spans="1:50" ht="25" customHeight="1" x14ac:dyDescent="0.25">
      <c r="A8" s="58" t="s">
        <v>5</v>
      </c>
      <c r="B8" s="44">
        <f>F8+J8</f>
        <v>6017600</v>
      </c>
      <c r="C8" s="39">
        <v>6266194</v>
      </c>
      <c r="D8" s="47">
        <f t="shared" ref="D8:D17" si="0">B8/C8-1</f>
        <v>-3.9672247619527923E-2</v>
      </c>
      <c r="E8" s="28"/>
      <c r="F8" s="39">
        <v>4122303</v>
      </c>
      <c r="G8" s="44">
        <v>4306223</v>
      </c>
      <c r="H8" s="47">
        <f t="shared" ref="H8:H18" si="1">F8/G8-1</f>
        <v>-4.2710282305398528E-2</v>
      </c>
      <c r="I8" s="28"/>
      <c r="J8" s="39">
        <v>1895297</v>
      </c>
      <c r="K8" s="44">
        <v>1959971</v>
      </c>
      <c r="L8" s="47">
        <f t="shared" ref="L8:L18" si="2">J8/K8-1</f>
        <v>-3.2997427002746438E-2</v>
      </c>
      <c r="N8" s="2"/>
      <c r="O8" s="2"/>
    </row>
    <row r="9" spans="1:50" ht="25" customHeight="1" x14ac:dyDescent="0.25">
      <c r="A9" s="59" t="s">
        <v>6</v>
      </c>
      <c r="B9" s="54">
        <f>F9+J9</f>
        <v>6062213</v>
      </c>
      <c r="C9" s="54">
        <v>6156717</v>
      </c>
      <c r="D9" s="52">
        <f>B9/C9-1</f>
        <v>-1.5349739154812525E-2</v>
      </c>
      <c r="E9" s="28"/>
      <c r="F9" s="45">
        <v>4093498</v>
      </c>
      <c r="G9" s="45">
        <v>4248507</v>
      </c>
      <c r="H9" s="53">
        <f t="shared" si="1"/>
        <v>-3.6485523031973388E-2</v>
      </c>
      <c r="I9" s="28"/>
      <c r="J9" s="45">
        <v>1968715</v>
      </c>
      <c r="K9" s="45">
        <v>1908210</v>
      </c>
      <c r="L9" s="53">
        <f t="shared" si="2"/>
        <v>3.1707726088847643E-2</v>
      </c>
      <c r="N9" s="2"/>
    </row>
    <row r="10" spans="1:50" ht="25" customHeight="1" x14ac:dyDescent="0.25">
      <c r="A10" s="58" t="s">
        <v>7</v>
      </c>
      <c r="B10" s="44">
        <f>F10+J10</f>
        <v>6447305</v>
      </c>
      <c r="C10" s="39">
        <v>6734607</v>
      </c>
      <c r="D10" s="47">
        <f t="shared" si="0"/>
        <v>-4.2660544260414879E-2</v>
      </c>
      <c r="E10" s="28"/>
      <c r="F10" s="44">
        <v>4443330</v>
      </c>
      <c r="G10" s="44">
        <v>4681543</v>
      </c>
      <c r="H10" s="47">
        <f t="shared" si="1"/>
        <v>-5.0883437362425177E-2</v>
      </c>
      <c r="I10" s="28"/>
      <c r="J10" s="44">
        <v>2003975</v>
      </c>
      <c r="K10" s="44">
        <v>2053064</v>
      </c>
      <c r="L10" s="47">
        <f t="shared" si="2"/>
        <v>-2.391011678155186E-2</v>
      </c>
    </row>
    <row r="11" spans="1:50" ht="25" customHeight="1" x14ac:dyDescent="0.25">
      <c r="A11" s="59" t="s">
        <v>8</v>
      </c>
      <c r="B11" s="54">
        <v>6838239</v>
      </c>
      <c r="C11" s="54">
        <v>6998112</v>
      </c>
      <c r="D11" s="52">
        <f t="shared" si="0"/>
        <v>-2.2845161666460889E-2</v>
      </c>
      <c r="E11" s="28"/>
      <c r="F11" s="45">
        <v>4678753</v>
      </c>
      <c r="G11" s="45">
        <v>4792942</v>
      </c>
      <c r="H11" s="53">
        <f t="shared" si="1"/>
        <v>-2.3824406804839326E-2</v>
      </c>
      <c r="I11" s="28"/>
      <c r="J11" s="45">
        <v>2159486</v>
      </c>
      <c r="K11" s="45">
        <v>2205170</v>
      </c>
      <c r="L11" s="53">
        <f t="shared" si="2"/>
        <v>-2.0716770135635776E-2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44">
        <v>6838239</v>
      </c>
      <c r="C12" s="39">
        <v>7315609</v>
      </c>
      <c r="D12" s="47">
        <f t="shared" si="0"/>
        <v>-6.5253624134368082E-2</v>
      </c>
      <c r="E12" s="28"/>
      <c r="F12" s="44">
        <v>4857993</v>
      </c>
      <c r="G12" s="44">
        <v>4952443</v>
      </c>
      <c r="H12" s="47">
        <f t="shared" si="1"/>
        <v>-1.9071395672802249E-2</v>
      </c>
      <c r="I12" s="28"/>
      <c r="J12" s="44">
        <v>2319944</v>
      </c>
      <c r="K12" s="44">
        <v>2363166</v>
      </c>
      <c r="L12" s="47">
        <f t="shared" si="2"/>
        <v>-1.8289870453450985E-2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6691917</v>
      </c>
      <c r="C13" s="54">
        <v>6983137</v>
      </c>
      <c r="D13" s="52">
        <f t="shared" si="0"/>
        <v>-4.1703320441801472E-2</v>
      </c>
      <c r="E13" s="28"/>
      <c r="F13" s="45">
        <v>4517782</v>
      </c>
      <c r="G13" s="45">
        <v>4766460</v>
      </c>
      <c r="H13" s="53">
        <f t="shared" si="1"/>
        <v>-5.2172471813463295E-2</v>
      </c>
      <c r="I13" s="28"/>
      <c r="J13" s="45">
        <v>2174135</v>
      </c>
      <c r="K13" s="45">
        <v>2216677</v>
      </c>
      <c r="L13" s="53">
        <f t="shared" si="2"/>
        <v>-1.9191790233759831E-2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v>5809235</v>
      </c>
      <c r="C14" s="39">
        <v>6208013</v>
      </c>
      <c r="D14" s="47">
        <f t="shared" si="0"/>
        <v>-6.4236012392370978E-2</v>
      </c>
      <c r="E14" s="28"/>
      <c r="F14" s="44">
        <v>3942661</v>
      </c>
      <c r="G14" s="44">
        <v>4240017</v>
      </c>
      <c r="H14" s="47">
        <f t="shared" si="1"/>
        <v>-7.0130850890456342E-2</v>
      </c>
      <c r="I14" s="46"/>
      <c r="J14" s="44">
        <v>1866574</v>
      </c>
      <c r="K14" s="44">
        <v>1967996</v>
      </c>
      <c r="L14" s="47">
        <f t="shared" si="2"/>
        <v>-5.1535673852995623E-2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v>6240234</v>
      </c>
      <c r="C15" s="54">
        <v>6461323</v>
      </c>
      <c r="D15" s="52">
        <f t="shared" si="0"/>
        <v>-3.4217295745778364E-2</v>
      </c>
      <c r="F15" s="45">
        <v>4316898</v>
      </c>
      <c r="G15" s="45">
        <v>4529106</v>
      </c>
      <c r="H15" s="53">
        <f t="shared" si="1"/>
        <v>-4.6854279851255454E-2</v>
      </c>
      <c r="J15" s="45">
        <v>1923336</v>
      </c>
      <c r="K15" s="45">
        <v>1932217</v>
      </c>
      <c r="L15" s="53">
        <f t="shared" si="2"/>
        <v>-4.5962746420303846E-3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5705628</v>
      </c>
      <c r="C16" s="56">
        <v>5931051</v>
      </c>
      <c r="D16" s="47">
        <f t="shared" si="0"/>
        <v>-3.8007260433268963E-2</v>
      </c>
      <c r="F16" s="44">
        <v>3925165</v>
      </c>
      <c r="G16" s="44">
        <v>4131760</v>
      </c>
      <c r="H16" s="47">
        <f t="shared" si="1"/>
        <v>-5.0001694193273605E-2</v>
      </c>
      <c r="J16" s="44">
        <v>1780463</v>
      </c>
      <c r="K16" s="44">
        <v>1799291</v>
      </c>
      <c r="L16" s="47">
        <f t="shared" si="2"/>
        <v>-1.046412170127009E-2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6312331</v>
      </c>
      <c r="C17" s="54">
        <v>6542761</v>
      </c>
      <c r="D17" s="52">
        <f t="shared" si="0"/>
        <v>-3.521907647245559E-2</v>
      </c>
      <c r="F17" s="45">
        <v>4287654</v>
      </c>
      <c r="G17" s="45">
        <v>4522386</v>
      </c>
      <c r="H17" s="53">
        <f t="shared" si="1"/>
        <v>-5.1904459283219073E-2</v>
      </c>
      <c r="J17" s="45">
        <v>2024677</v>
      </c>
      <c r="K17" s="45">
        <v>2020375</v>
      </c>
      <c r="L17" s="53">
        <f t="shared" si="2"/>
        <v>2.1293076780299902E-3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73376375</v>
      </c>
      <c r="C18" s="40">
        <f>SUM(C6:C17)</f>
        <v>76551468</v>
      </c>
      <c r="D18" s="47">
        <f>B18/C18-1</f>
        <v>-4.1476578868480996E-2</v>
      </c>
      <c r="F18" s="40">
        <f>SUM(F6:F17)</f>
        <v>50099236</v>
      </c>
      <c r="G18" s="40">
        <f>SUM(G6:G17)</f>
        <v>52599418</v>
      </c>
      <c r="H18" s="47">
        <f t="shared" si="1"/>
        <v>-4.7532503116289204E-2</v>
      </c>
      <c r="J18" s="40">
        <f>SUM(J6:J17)</f>
        <v>23616837</v>
      </c>
      <c r="K18" s="40">
        <f>SUM(K6:K17)</f>
        <v>23952050</v>
      </c>
      <c r="L18" s="47">
        <f t="shared" si="2"/>
        <v>-1.3995169515761741E-2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38</v>
      </c>
      <c r="H20" s="42"/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  <c r="L21" s="30"/>
    </row>
    <row r="23" spans="1:50" x14ac:dyDescent="0.25">
      <c r="D23" s="4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  <pageSetUpPr fitToPage="1"/>
  </sheetPr>
  <dimension ref="A1:AX23"/>
  <sheetViews>
    <sheetView zoomScaleNormal="100" zoomScaleSheetLayoutView="90" workbookViewId="0">
      <selection activeCell="G19" sqref="G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2" width="13.83203125" style="25" customWidth="1"/>
    <col min="14" max="14" width="9.33203125" customWidth="1"/>
  </cols>
  <sheetData>
    <row r="1" spans="1:50" ht="35" customHeight="1" x14ac:dyDescent="0.2">
      <c r="A1" s="82" t="s">
        <v>17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5" t="s">
        <v>16</v>
      </c>
      <c r="K3" s="85"/>
      <c r="L3" s="85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7"/>
      <c r="D5" s="55"/>
      <c r="F5" s="31"/>
      <c r="G5" s="31"/>
      <c r="H5" s="43"/>
      <c r="J5" s="73"/>
      <c r="K5" s="73"/>
      <c r="L5" s="74"/>
    </row>
    <row r="6" spans="1:50" ht="25" customHeight="1" x14ac:dyDescent="0.25">
      <c r="A6" s="58" t="s">
        <v>3</v>
      </c>
      <c r="B6" s="39">
        <v>409153</v>
      </c>
      <c r="C6" s="39">
        <v>437121</v>
      </c>
      <c r="D6" s="47">
        <f>B6/C6-1</f>
        <v>-6.3982284081524288E-2</v>
      </c>
      <c r="E6" s="28"/>
      <c r="F6" s="44">
        <v>409153</v>
      </c>
      <c r="G6" s="44">
        <v>437121</v>
      </c>
      <c r="H6" s="47">
        <f>F6/G6-1</f>
        <v>-6.3982284081524288E-2</v>
      </c>
      <c r="I6" s="28"/>
      <c r="J6" s="44"/>
      <c r="K6" s="44"/>
      <c r="L6" s="44"/>
    </row>
    <row r="7" spans="1:50" ht="25" customHeight="1" x14ac:dyDescent="0.25">
      <c r="A7" s="59" t="s">
        <v>4</v>
      </c>
      <c r="B7" s="54">
        <v>425370</v>
      </c>
      <c r="C7" s="54">
        <v>417214</v>
      </c>
      <c r="D7" s="52">
        <f>B7/C7-1</f>
        <v>1.9548720800356634E-2</v>
      </c>
      <c r="E7" s="28"/>
      <c r="F7" s="45">
        <v>425370</v>
      </c>
      <c r="G7" s="45">
        <v>417214</v>
      </c>
      <c r="H7" s="49">
        <f>F7/G7-1</f>
        <v>1.9548720800356634E-2</v>
      </c>
      <c r="I7" s="28"/>
      <c r="J7" s="75"/>
      <c r="K7" s="75"/>
      <c r="L7" s="75"/>
      <c r="N7" s="2"/>
      <c r="O7" s="2"/>
    </row>
    <row r="8" spans="1:50" ht="25" customHeight="1" x14ac:dyDescent="0.25">
      <c r="A8" s="58" t="s">
        <v>5</v>
      </c>
      <c r="B8" s="44">
        <v>531078</v>
      </c>
      <c r="C8" s="44">
        <v>505214</v>
      </c>
      <c r="D8" s="47">
        <f t="shared" ref="D8:D18" si="0">B8/C8-1</f>
        <v>5.1194147430593695E-2</v>
      </c>
      <c r="E8" s="28"/>
      <c r="F8" s="44">
        <v>531078</v>
      </c>
      <c r="G8" s="44">
        <v>505214</v>
      </c>
      <c r="H8" s="48">
        <f t="shared" ref="H8:H18" si="1">F8/G8-1</f>
        <v>5.1194147430593695E-2</v>
      </c>
      <c r="I8" s="28"/>
      <c r="J8" s="44"/>
      <c r="K8" s="44"/>
      <c r="L8" s="44"/>
      <c r="N8" s="2"/>
      <c r="O8" s="2"/>
    </row>
    <row r="9" spans="1:50" ht="25" customHeight="1" x14ac:dyDescent="0.25">
      <c r="A9" s="59" t="s">
        <v>6</v>
      </c>
      <c r="B9" s="54">
        <v>539544</v>
      </c>
      <c r="C9" s="54">
        <v>508043</v>
      </c>
      <c r="D9" s="52">
        <f t="shared" si="0"/>
        <v>6.2004594099318355E-2</v>
      </c>
      <c r="E9" s="28"/>
      <c r="F9" s="45">
        <v>539544</v>
      </c>
      <c r="G9" s="45">
        <v>508043</v>
      </c>
      <c r="H9" s="49">
        <f t="shared" si="1"/>
        <v>6.2004594099318355E-2</v>
      </c>
      <c r="I9" s="28"/>
      <c r="J9" s="75"/>
      <c r="K9" s="75"/>
      <c r="L9" s="75"/>
      <c r="N9" s="2"/>
    </row>
    <row r="10" spans="1:50" ht="25" customHeight="1" x14ac:dyDescent="0.25">
      <c r="A10" s="58" t="s">
        <v>7</v>
      </c>
      <c r="B10" s="44">
        <v>577338</v>
      </c>
      <c r="C10" s="44">
        <v>536948</v>
      </c>
      <c r="D10" s="47">
        <f t="shared" si="0"/>
        <v>7.5221436712679779E-2</v>
      </c>
      <c r="E10" s="28"/>
      <c r="F10" s="44">
        <v>577338</v>
      </c>
      <c r="G10" s="44">
        <v>536948</v>
      </c>
      <c r="H10" s="48">
        <f t="shared" si="1"/>
        <v>7.5221436712679779E-2</v>
      </c>
      <c r="I10" s="28"/>
      <c r="J10" s="44"/>
      <c r="K10" s="44"/>
      <c r="L10" s="44"/>
    </row>
    <row r="11" spans="1:50" ht="24" customHeight="1" x14ac:dyDescent="0.25">
      <c r="A11" s="59" t="s">
        <v>8</v>
      </c>
      <c r="B11" s="54">
        <v>557427</v>
      </c>
      <c r="C11" s="54">
        <v>610832</v>
      </c>
      <c r="D11" s="52">
        <f t="shared" si="0"/>
        <v>-8.7429931634230074E-2</v>
      </c>
      <c r="E11" s="28"/>
      <c r="F11" s="45">
        <v>557427</v>
      </c>
      <c r="G11" s="45">
        <v>610832</v>
      </c>
      <c r="H11" s="49">
        <f t="shared" si="1"/>
        <v>-8.7429931634230074E-2</v>
      </c>
      <c r="I11" s="28"/>
      <c r="J11" s="75"/>
      <c r="K11" s="75"/>
      <c r="L11" s="7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44">
        <v>548964</v>
      </c>
      <c r="C12" s="44">
        <v>638833</v>
      </c>
      <c r="D12" s="47">
        <f t="shared" si="0"/>
        <v>-0.1406768279033801</v>
      </c>
      <c r="E12" s="28"/>
      <c r="F12" s="44">
        <v>548964</v>
      </c>
      <c r="G12" s="44">
        <v>638833</v>
      </c>
      <c r="H12" s="48">
        <f t="shared" si="1"/>
        <v>-0.1406768279033801</v>
      </c>
      <c r="I12" s="28"/>
      <c r="J12" s="44"/>
      <c r="K12" s="44"/>
      <c r="L12" s="4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558913</v>
      </c>
      <c r="C13" s="54">
        <v>582654</v>
      </c>
      <c r="D13" s="52">
        <f t="shared" si="0"/>
        <v>-4.0746309130289982E-2</v>
      </c>
      <c r="E13" s="28"/>
      <c r="F13" s="45">
        <v>558913</v>
      </c>
      <c r="G13" s="45">
        <v>582654</v>
      </c>
      <c r="H13" s="49">
        <f t="shared" si="1"/>
        <v>-4.0746309130289982E-2</v>
      </c>
      <c r="I13" s="28"/>
      <c r="J13" s="75"/>
      <c r="K13" s="75"/>
      <c r="L13" s="7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44">
        <v>523677</v>
      </c>
      <c r="C14" s="44">
        <v>543678</v>
      </c>
      <c r="D14" s="47">
        <f t="shared" si="0"/>
        <v>-3.6788319556796512E-2</v>
      </c>
      <c r="E14" s="28"/>
      <c r="F14" s="44">
        <v>523677</v>
      </c>
      <c r="G14" s="44">
        <v>543678</v>
      </c>
      <c r="H14" s="48">
        <f t="shared" si="1"/>
        <v>-3.6788319556796512E-2</v>
      </c>
      <c r="I14" s="46"/>
      <c r="J14" s="44"/>
      <c r="K14" s="44"/>
      <c r="L14" s="4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v>549824</v>
      </c>
      <c r="C15" s="54">
        <v>600617</v>
      </c>
      <c r="D15" s="52">
        <f t="shared" si="0"/>
        <v>-8.4568035869780567E-2</v>
      </c>
      <c r="F15" s="45">
        <v>549824</v>
      </c>
      <c r="G15" s="45">
        <v>600617</v>
      </c>
      <c r="H15" s="49">
        <f t="shared" si="1"/>
        <v>-8.4568035869780567E-2</v>
      </c>
      <c r="J15" s="75"/>
      <c r="K15" s="75"/>
      <c r="L15" s="7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44">
        <v>492588</v>
      </c>
      <c r="C16" s="44">
        <v>566300</v>
      </c>
      <c r="D16" s="47">
        <f t="shared" si="0"/>
        <v>-0.13016422390958859</v>
      </c>
      <c r="F16" s="44">
        <v>492588</v>
      </c>
      <c r="G16" s="44">
        <v>566300</v>
      </c>
      <c r="H16" s="48">
        <f t="shared" si="1"/>
        <v>-0.13016422390958859</v>
      </c>
      <c r="J16" s="44"/>
      <c r="K16" s="44"/>
      <c r="L16" s="3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505603</v>
      </c>
      <c r="C17" s="54">
        <v>602827</v>
      </c>
      <c r="D17" s="52">
        <f t="shared" si="0"/>
        <v>-0.16128010191978792</v>
      </c>
      <c r="F17" s="45">
        <v>505603</v>
      </c>
      <c r="G17" s="45">
        <v>602827</v>
      </c>
      <c r="H17" s="49">
        <f t="shared" si="1"/>
        <v>-0.16128010191978792</v>
      </c>
      <c r="J17" s="75"/>
      <c r="K17" s="75"/>
      <c r="L17" s="7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6219479</v>
      </c>
      <c r="C18" s="40">
        <f>SUM(C6:C17)</f>
        <v>6550281</v>
      </c>
      <c r="D18" s="47">
        <f t="shared" si="0"/>
        <v>-5.0501955564959733E-2</v>
      </c>
      <c r="F18" s="40">
        <f>SUM(F6:F17)</f>
        <v>6219479</v>
      </c>
      <c r="G18" s="40">
        <f>SUM(G6:G17)</f>
        <v>6550281</v>
      </c>
      <c r="H18" s="47">
        <f t="shared" si="1"/>
        <v>-5.0501955564959733E-2</v>
      </c>
      <c r="J18" s="40"/>
      <c r="K18" s="40"/>
      <c r="L18" s="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44</v>
      </c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  <c r="L21" s="30"/>
    </row>
    <row r="23" spans="1:50" x14ac:dyDescent="0.25">
      <c r="D23" s="41"/>
      <c r="H23" s="41"/>
    </row>
  </sheetData>
  <mergeCells count="4">
    <mergeCell ref="A1:L1"/>
    <mergeCell ref="J3:L3"/>
    <mergeCell ref="B3:D3"/>
    <mergeCell ref="F3:H3"/>
  </mergeCells>
  <phoneticPr fontId="18" type="noConversion"/>
  <pageMargins left="0.7" right="0.7" top="0.75" bottom="0.75" header="0.3" footer="0.3"/>
  <pageSetup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  <pageSetUpPr fitToPage="1"/>
  </sheetPr>
  <dimension ref="A1:AX23"/>
  <sheetViews>
    <sheetView zoomScaleNormal="100" zoomScaleSheetLayoutView="90" workbookViewId="0">
      <selection activeCell="G19" sqref="G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2" width="13.83203125" style="25" customWidth="1"/>
    <col min="14" max="14" width="9.33203125" customWidth="1"/>
  </cols>
  <sheetData>
    <row r="1" spans="1:50" ht="3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5" t="s">
        <v>16</v>
      </c>
      <c r="K3" s="85"/>
      <c r="L3" s="85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7"/>
      <c r="D5" s="55"/>
      <c r="F5" s="31"/>
      <c r="G5" s="31"/>
      <c r="H5" s="43"/>
      <c r="J5" s="73"/>
      <c r="K5" s="73"/>
      <c r="L5" s="74"/>
    </row>
    <row r="6" spans="1:50" ht="25" customHeight="1" x14ac:dyDescent="0.25">
      <c r="A6" s="58" t="s">
        <v>3</v>
      </c>
      <c r="B6" s="44">
        <v>269452</v>
      </c>
      <c r="C6" s="39">
        <v>294014</v>
      </c>
      <c r="D6" s="47">
        <f>B6/C6-1</f>
        <v>-8.3540239580428111E-2</v>
      </c>
      <c r="E6" s="28"/>
      <c r="F6" s="44">
        <v>269452</v>
      </c>
      <c r="G6" s="44">
        <v>294014</v>
      </c>
      <c r="H6" s="47">
        <f>F6/G6-1</f>
        <v>-8.3540239580428111E-2</v>
      </c>
      <c r="I6" s="28"/>
      <c r="J6" s="44"/>
      <c r="K6" s="44"/>
      <c r="L6" s="44"/>
    </row>
    <row r="7" spans="1:50" ht="25" customHeight="1" x14ac:dyDescent="0.25">
      <c r="A7" s="59" t="s">
        <v>4</v>
      </c>
      <c r="B7" s="54">
        <v>263160</v>
      </c>
      <c r="C7" s="54">
        <v>305778</v>
      </c>
      <c r="D7" s="52">
        <f>B7/C7-1</f>
        <v>-0.13937562545376059</v>
      </c>
      <c r="E7" s="28"/>
      <c r="F7" s="45">
        <v>263160</v>
      </c>
      <c r="G7" s="45">
        <v>305778</v>
      </c>
      <c r="H7" s="49">
        <f>F7/G7-1</f>
        <v>-0.13937562545376059</v>
      </c>
      <c r="I7" s="28"/>
      <c r="J7" s="75"/>
      <c r="K7" s="75"/>
      <c r="L7" s="75"/>
      <c r="N7" s="2"/>
      <c r="O7" s="2"/>
    </row>
    <row r="8" spans="1:50" ht="25" customHeight="1" x14ac:dyDescent="0.25">
      <c r="A8" s="58" t="s">
        <v>5</v>
      </c>
      <c r="B8" s="39">
        <v>332783</v>
      </c>
      <c r="C8" s="39">
        <v>296663</v>
      </c>
      <c r="D8" s="47">
        <f t="shared" ref="D8:D18" si="0">B8/C8-1</f>
        <v>0.12175431381736179</v>
      </c>
      <c r="E8" s="28"/>
      <c r="F8" s="44">
        <v>332783</v>
      </c>
      <c r="G8" s="44">
        <v>296663</v>
      </c>
      <c r="H8" s="48">
        <f t="shared" ref="H8:H18" si="1">F8/G8-1</f>
        <v>0.12175431381736179</v>
      </c>
      <c r="I8" s="28"/>
      <c r="J8" s="44"/>
      <c r="K8" s="44"/>
      <c r="L8" s="44"/>
      <c r="N8" s="2"/>
      <c r="O8" s="2"/>
    </row>
    <row r="9" spans="1:50" ht="25" customHeight="1" x14ac:dyDescent="0.25">
      <c r="A9" s="59" t="s">
        <v>6</v>
      </c>
      <c r="B9" s="54">
        <v>317072</v>
      </c>
      <c r="C9" s="54">
        <v>349693</v>
      </c>
      <c r="D9" s="52">
        <f t="shared" si="0"/>
        <v>-9.3284681134595204E-2</v>
      </c>
      <c r="E9" s="28"/>
      <c r="F9" s="45">
        <v>317072</v>
      </c>
      <c r="G9" s="45">
        <v>349693</v>
      </c>
      <c r="H9" s="49">
        <f t="shared" si="1"/>
        <v>-9.3284681134595204E-2</v>
      </c>
      <c r="I9" s="28"/>
      <c r="J9" s="75"/>
      <c r="K9" s="75"/>
      <c r="L9" s="75"/>
      <c r="N9" s="2"/>
    </row>
    <row r="10" spans="1:50" ht="25" customHeight="1" x14ac:dyDescent="0.25">
      <c r="A10" s="58" t="s">
        <v>7</v>
      </c>
      <c r="B10" s="39">
        <v>331577</v>
      </c>
      <c r="C10" s="39">
        <v>380390</v>
      </c>
      <c r="D10" s="47">
        <f t="shared" si="0"/>
        <v>-0.12832356265937594</v>
      </c>
      <c r="E10" s="28"/>
      <c r="F10" s="44">
        <v>331577</v>
      </c>
      <c r="G10" s="44">
        <v>380390</v>
      </c>
      <c r="H10" s="48">
        <f t="shared" si="1"/>
        <v>-0.12832356265937594</v>
      </c>
      <c r="I10" s="28"/>
      <c r="J10" s="44"/>
      <c r="K10" s="44"/>
      <c r="L10" s="44"/>
    </row>
    <row r="11" spans="1:50" ht="25" customHeight="1" x14ac:dyDescent="0.25">
      <c r="A11" s="59" t="s">
        <v>8</v>
      </c>
      <c r="B11" s="54">
        <v>338846</v>
      </c>
      <c r="C11" s="54">
        <v>378610</v>
      </c>
      <c r="D11" s="52">
        <f t="shared" si="0"/>
        <v>-0.10502628034124828</v>
      </c>
      <c r="E11" s="28"/>
      <c r="F11" s="45">
        <v>338846</v>
      </c>
      <c r="G11" s="45">
        <v>378610</v>
      </c>
      <c r="H11" s="49">
        <f t="shared" si="1"/>
        <v>-0.10502628034124828</v>
      </c>
      <c r="I11" s="28"/>
      <c r="J11" s="75"/>
      <c r="K11" s="75"/>
      <c r="L11" s="7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44">
        <v>340085</v>
      </c>
      <c r="C12" s="44">
        <v>380986</v>
      </c>
      <c r="D12" s="47">
        <f t="shared" si="0"/>
        <v>-0.10735565086381127</v>
      </c>
      <c r="E12" s="28"/>
      <c r="F12" s="44">
        <v>340085</v>
      </c>
      <c r="G12" s="44">
        <v>380986</v>
      </c>
      <c r="H12" s="48">
        <f t="shared" si="1"/>
        <v>-0.10735565086381127</v>
      </c>
      <c r="I12" s="28"/>
      <c r="J12" s="44"/>
      <c r="K12" s="44"/>
      <c r="L12" s="4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318109</v>
      </c>
      <c r="C13" s="54">
        <v>345398</v>
      </c>
      <c r="D13" s="52">
        <f t="shared" si="0"/>
        <v>-7.9007405949079068E-2</v>
      </c>
      <c r="E13" s="28"/>
      <c r="F13" s="45">
        <v>318109</v>
      </c>
      <c r="G13" s="45">
        <v>345398</v>
      </c>
      <c r="H13" s="49">
        <f t="shared" si="1"/>
        <v>-7.9007405949079068E-2</v>
      </c>
      <c r="I13" s="28"/>
      <c r="J13" s="75"/>
      <c r="K13" s="75"/>
      <c r="L13" s="7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44">
        <v>314742</v>
      </c>
      <c r="C14" s="44">
        <v>323402</v>
      </c>
      <c r="D14" s="47">
        <f t="shared" si="0"/>
        <v>-2.6777818318996172E-2</v>
      </c>
      <c r="E14" s="28"/>
      <c r="F14" s="44">
        <v>314742</v>
      </c>
      <c r="G14" s="44">
        <v>323402</v>
      </c>
      <c r="H14" s="48">
        <f t="shared" si="1"/>
        <v>-2.6777818318996172E-2</v>
      </c>
      <c r="I14" s="46"/>
      <c r="J14" s="44"/>
      <c r="K14" s="44"/>
      <c r="L14" s="4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v>340474</v>
      </c>
      <c r="C15" s="54">
        <v>344640</v>
      </c>
      <c r="D15" s="52">
        <f t="shared" si="0"/>
        <v>-1.2087975858867228E-2</v>
      </c>
      <c r="F15" s="45">
        <v>340474</v>
      </c>
      <c r="G15" s="45">
        <v>340474</v>
      </c>
      <c r="H15" s="49">
        <f t="shared" si="1"/>
        <v>0</v>
      </c>
      <c r="J15" s="75"/>
      <c r="K15" s="75"/>
      <c r="L15" s="7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44">
        <v>314422</v>
      </c>
      <c r="C16" s="65">
        <v>335035</v>
      </c>
      <c r="D16" s="47">
        <f t="shared" si="0"/>
        <v>-6.1524915307355932E-2</v>
      </c>
      <c r="F16" s="44">
        <v>314422</v>
      </c>
      <c r="G16" s="44">
        <v>335035</v>
      </c>
      <c r="H16" s="48">
        <f t="shared" si="1"/>
        <v>-6.1524915307355932E-2</v>
      </c>
      <c r="J16" s="44"/>
      <c r="K16" s="44"/>
      <c r="L16" s="3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333092</v>
      </c>
      <c r="C17" s="54">
        <v>352520</v>
      </c>
      <c r="D17" s="52">
        <f t="shared" si="0"/>
        <v>-5.5111766708271892E-2</v>
      </c>
      <c r="F17" s="45">
        <v>333092</v>
      </c>
      <c r="G17" s="45">
        <v>352520</v>
      </c>
      <c r="H17" s="49">
        <f t="shared" si="1"/>
        <v>-5.5111766708271892E-2</v>
      </c>
      <c r="J17" s="75"/>
      <c r="K17" s="75"/>
      <c r="L17" s="7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3813814</v>
      </c>
      <c r="C18" s="40">
        <f>SUM(C6:C17)</f>
        <v>4087129</v>
      </c>
      <c r="D18" s="47">
        <f t="shared" si="0"/>
        <v>-6.6872124662568755E-2</v>
      </c>
      <c r="F18" s="40">
        <f>SUM(F6:F17)</f>
        <v>3813814</v>
      </c>
      <c r="G18" s="40">
        <f>SUM(G6:G17)</f>
        <v>4082963</v>
      </c>
      <c r="H18" s="47">
        <f t="shared" si="1"/>
        <v>-6.5920019358490345E-2</v>
      </c>
      <c r="J18" s="40"/>
      <c r="K18" s="40"/>
      <c r="L18" s="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37</v>
      </c>
      <c r="L20" s="2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  <c r="L21" s="30"/>
    </row>
    <row r="23" spans="1:50" x14ac:dyDescent="0.25">
      <c r="D23" s="41"/>
      <c r="H23" s="41"/>
    </row>
  </sheetData>
  <mergeCells count="4">
    <mergeCell ref="A1:L1"/>
    <mergeCell ref="J3:L3"/>
    <mergeCell ref="B3:D3"/>
    <mergeCell ref="F3:H3"/>
  </mergeCells>
  <phoneticPr fontId="18" type="noConversion"/>
  <pageMargins left="0.7" right="0.7" top="0.75" bottom="0.75" header="0.3" footer="0.3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AX24"/>
  <sheetViews>
    <sheetView zoomScaleNormal="100" zoomScaleSheetLayoutView="100" workbookViewId="0">
      <selection activeCell="K19" sqref="K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18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7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77">
        <v>680732</v>
      </c>
      <c r="C6" s="63">
        <v>839381</v>
      </c>
      <c r="D6" s="47">
        <f>B6/C6-1</f>
        <v>-0.18900713740244302</v>
      </c>
      <c r="E6" s="28"/>
      <c r="F6" s="66">
        <v>607727</v>
      </c>
      <c r="G6" s="66">
        <f>C6-K6</f>
        <v>785482</v>
      </c>
      <c r="H6" s="47">
        <f t="shared" ref="H6:H12" si="0">F6/G6-1</f>
        <v>-0.2263005390320848</v>
      </c>
      <c r="I6" s="28"/>
      <c r="J6" s="66">
        <v>73005</v>
      </c>
      <c r="K6" s="66">
        <f>29764+24135</f>
        <v>53899</v>
      </c>
      <c r="L6" s="47">
        <f t="shared" ref="L6:L12" si="1">J6/K6-1</f>
        <v>0.35447781962559599</v>
      </c>
    </row>
    <row r="7" spans="1:50" ht="25" customHeight="1" x14ac:dyDescent="0.25">
      <c r="A7" s="59" t="s">
        <v>4</v>
      </c>
      <c r="B7" s="64">
        <f>F7+J7</f>
        <v>668485</v>
      </c>
      <c r="C7" s="64">
        <v>804471</v>
      </c>
      <c r="D7" s="52">
        <f>B7/C7-1</f>
        <v>-0.16903779005085329</v>
      </c>
      <c r="E7" s="28"/>
      <c r="F7" s="67">
        <f>303280+300870</f>
        <v>604150</v>
      </c>
      <c r="G7" s="67">
        <f>384116+377288</f>
        <v>761404</v>
      </c>
      <c r="H7" s="49">
        <f t="shared" si="0"/>
        <v>-0.2065316179058686</v>
      </c>
      <c r="I7" s="28"/>
      <c r="J7" s="67">
        <f>33473+30862</f>
        <v>64335</v>
      </c>
      <c r="K7" s="67">
        <f>23761+19306</f>
        <v>43067</v>
      </c>
      <c r="L7" s="49">
        <f t="shared" si="1"/>
        <v>0.49383518703415619</v>
      </c>
      <c r="N7" s="2"/>
      <c r="O7" s="2"/>
    </row>
    <row r="8" spans="1:50" ht="25" customHeight="1" x14ac:dyDescent="0.25">
      <c r="A8" s="58" t="s">
        <v>5</v>
      </c>
      <c r="B8" s="63">
        <f>F8+J8</f>
        <v>784564</v>
      </c>
      <c r="C8" s="63">
        <v>904268</v>
      </c>
      <c r="D8" s="47">
        <f>B8/C8-1</f>
        <v>-0.13237668478813802</v>
      </c>
      <c r="E8" s="28"/>
      <c r="F8" s="66">
        <f>362130+360287</f>
        <v>722417</v>
      </c>
      <c r="G8" s="66">
        <f>435710+424279</f>
        <v>859989</v>
      </c>
      <c r="H8" s="60">
        <f t="shared" si="0"/>
        <v>-0.15996948798182298</v>
      </c>
      <c r="I8" s="28"/>
      <c r="J8" s="66">
        <v>62147</v>
      </c>
      <c r="K8" s="66">
        <f>20618+23661</f>
        <v>44279</v>
      </c>
      <c r="L8" s="47">
        <f t="shared" si="1"/>
        <v>0.40353214842250273</v>
      </c>
      <c r="N8" s="2"/>
      <c r="O8" s="2"/>
    </row>
    <row r="9" spans="1:50" ht="25" customHeight="1" x14ac:dyDescent="0.25">
      <c r="A9" s="59" t="s">
        <v>6</v>
      </c>
      <c r="B9" s="64">
        <f>F9+J9</f>
        <v>790765</v>
      </c>
      <c r="C9" s="64">
        <v>914330</v>
      </c>
      <c r="D9" s="52">
        <f t="shared" ref="D9:D18" si="2">B9/C9-1</f>
        <v>-0.13514267277678738</v>
      </c>
      <c r="E9" s="28"/>
      <c r="F9" s="67">
        <f>361686+364343</f>
        <v>726029</v>
      </c>
      <c r="G9" s="67">
        <f>428097+440803</f>
        <v>868900</v>
      </c>
      <c r="H9" s="49">
        <f t="shared" si="0"/>
        <v>-0.16442743698929685</v>
      </c>
      <c r="I9" s="28"/>
      <c r="J9" s="67">
        <f>30035+34701</f>
        <v>64736</v>
      </c>
      <c r="K9" s="67">
        <f>20367+25063</f>
        <v>45430</v>
      </c>
      <c r="L9" s="49">
        <f t="shared" si="1"/>
        <v>0.42496147919876726</v>
      </c>
      <c r="N9" s="2"/>
    </row>
    <row r="10" spans="1:50" ht="25" customHeight="1" x14ac:dyDescent="0.25">
      <c r="A10" s="58" t="s">
        <v>7</v>
      </c>
      <c r="B10" s="63">
        <f>F10+J10</f>
        <v>833705</v>
      </c>
      <c r="C10" s="63">
        <v>977503</v>
      </c>
      <c r="D10" s="47">
        <f t="shared" si="2"/>
        <v>-0.1471074769079993</v>
      </c>
      <c r="E10" s="28"/>
      <c r="F10" s="66">
        <f>387577+388424</f>
        <v>776001</v>
      </c>
      <c r="G10" s="66">
        <f>464386+465812</f>
        <v>930198</v>
      </c>
      <c r="H10" s="60">
        <f t="shared" si="0"/>
        <v>-0.1657679332787213</v>
      </c>
      <c r="I10" s="28"/>
      <c r="J10" s="66">
        <f>26964+30740</f>
        <v>57704</v>
      </c>
      <c r="K10" s="66">
        <f>22677+24628</f>
        <v>47305</v>
      </c>
      <c r="L10" s="47">
        <f t="shared" si="1"/>
        <v>0.21982877074305041</v>
      </c>
    </row>
    <row r="11" spans="1:50" ht="25" customHeight="1" x14ac:dyDescent="0.25">
      <c r="A11" s="59" t="s">
        <v>8</v>
      </c>
      <c r="B11" s="64">
        <f>F11+J11</f>
        <v>810585</v>
      </c>
      <c r="C11" s="64">
        <v>1016321</v>
      </c>
      <c r="D11" s="52">
        <f t="shared" si="2"/>
        <v>-0.20243210560443015</v>
      </c>
      <c r="E11" s="28"/>
      <c r="F11" s="67">
        <f>378904+369326</f>
        <v>748230</v>
      </c>
      <c r="G11" s="67">
        <f>492094+474057</f>
        <v>966151</v>
      </c>
      <c r="H11" s="49">
        <f t="shared" si="0"/>
        <v>-0.22555583961513259</v>
      </c>
      <c r="I11" s="28"/>
      <c r="J11" s="67">
        <f>34057+28298</f>
        <v>62355</v>
      </c>
      <c r="K11" s="67">
        <f>27922+22248</f>
        <v>50170</v>
      </c>
      <c r="L11" s="49">
        <f t="shared" si="1"/>
        <v>0.24287422762607136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66">
        <v>823115</v>
      </c>
      <c r="C12" s="63">
        <v>1038224</v>
      </c>
      <c r="D12" s="47">
        <f t="shared" si="2"/>
        <v>-0.20718939265514957</v>
      </c>
      <c r="F12" s="63">
        <v>755759</v>
      </c>
      <c r="G12" s="69">
        <v>967804</v>
      </c>
      <c r="H12" s="60">
        <f t="shared" si="0"/>
        <v>-0.21909911511008429</v>
      </c>
      <c r="J12" s="66">
        <v>67356</v>
      </c>
      <c r="K12" s="66">
        <v>70420</v>
      </c>
      <c r="L12" s="47">
        <f t="shared" si="1"/>
        <v>-4.3510366373189391E-2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64">
        <v>810584</v>
      </c>
      <c r="C13" s="64">
        <v>934104</v>
      </c>
      <c r="D13" s="52">
        <f t="shared" si="2"/>
        <v>-0.13223366991255792</v>
      </c>
      <c r="E13" s="28"/>
      <c r="F13" s="67">
        <f>B13-J13</f>
        <v>746568</v>
      </c>
      <c r="G13" s="70">
        <v>883583</v>
      </c>
      <c r="H13" s="49">
        <f t="shared" ref="H13:H18" si="3">F13/G13-1</f>
        <v>-0.15506749224464478</v>
      </c>
      <c r="I13" s="28"/>
      <c r="J13" s="67">
        <f>28699+35317</f>
        <v>64016</v>
      </c>
      <c r="K13" s="67">
        <v>50521</v>
      </c>
      <c r="L13" s="49">
        <f t="shared" ref="L13:L18" si="4">J13/K13-1</f>
        <v>0.26711664456364681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63">
        <f>F14+J14</f>
        <v>751935</v>
      </c>
      <c r="C14" s="63">
        <v>853771</v>
      </c>
      <c r="D14" s="47">
        <f t="shared" si="2"/>
        <v>-0.11927788599050571</v>
      </c>
      <c r="E14" s="28"/>
      <c r="F14" s="63">
        <f>343053+348248</f>
        <v>691301</v>
      </c>
      <c r="G14" s="69">
        <v>803461</v>
      </c>
      <c r="H14" s="47">
        <f t="shared" si="3"/>
        <v>-0.13959607249138417</v>
      </c>
      <c r="I14" s="46"/>
      <c r="J14" s="66">
        <f>28463+32171</f>
        <v>60634</v>
      </c>
      <c r="K14" s="66">
        <v>50310</v>
      </c>
      <c r="L14" s="47">
        <f t="shared" si="4"/>
        <v>0.20520771218445644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64">
        <f>768402</f>
        <v>768402</v>
      </c>
      <c r="C15" s="64">
        <v>862463</v>
      </c>
      <c r="D15" s="52">
        <f t="shared" si="2"/>
        <v>-0.10906091043905652</v>
      </c>
      <c r="F15" s="71">
        <f>352354+353087</f>
        <v>705441</v>
      </c>
      <c r="G15" s="71">
        <v>809483</v>
      </c>
      <c r="H15" s="49">
        <f t="shared" si="3"/>
        <v>-0.12852894995941855</v>
      </c>
      <c r="J15" s="67">
        <f>32883+30078</f>
        <v>62961</v>
      </c>
      <c r="K15" s="67">
        <v>62034</v>
      </c>
      <c r="L15" s="49">
        <f t="shared" si="4"/>
        <v>1.4943418125544117E-2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63">
        <v>704344</v>
      </c>
      <c r="C16" s="63">
        <v>799262</v>
      </c>
      <c r="D16" s="47">
        <f t="shared" si="2"/>
        <v>-0.11875705338174469</v>
      </c>
      <c r="F16" s="72">
        <v>634707</v>
      </c>
      <c r="G16" s="72">
        <v>743512</v>
      </c>
      <c r="H16" s="47">
        <f t="shared" si="3"/>
        <v>-0.14633926553976262</v>
      </c>
      <c r="J16" s="66">
        <v>69637</v>
      </c>
      <c r="K16" s="66">
        <v>55750</v>
      </c>
      <c r="L16" s="47">
        <f t="shared" si="4"/>
        <v>0.24909417040358739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64">
        <v>740588</v>
      </c>
      <c r="C17" s="64">
        <f>G17+K17</f>
        <v>867787</v>
      </c>
      <c r="D17" s="52">
        <f t="shared" si="2"/>
        <v>-0.14657859589968503</v>
      </c>
      <c r="F17" s="45">
        <v>657649</v>
      </c>
      <c r="G17" s="45">
        <f>396402+389076</f>
        <v>785478</v>
      </c>
      <c r="H17" s="49">
        <f t="shared" si="3"/>
        <v>-0.16274039502061166</v>
      </c>
      <c r="J17" s="67">
        <v>82939</v>
      </c>
      <c r="K17" s="67">
        <f>51071+31238</f>
        <v>82309</v>
      </c>
      <c r="L17" s="49">
        <f t="shared" si="4"/>
        <v>7.6540840005345778E-3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9167804</v>
      </c>
      <c r="C18" s="40">
        <f>SUM(C6:C17)</f>
        <v>10811885</v>
      </c>
      <c r="D18" s="47">
        <f t="shared" si="2"/>
        <v>-0.15206238320144916</v>
      </c>
      <c r="F18" s="40">
        <f>SUM(F6:F17)</f>
        <v>8375979</v>
      </c>
      <c r="G18" s="40">
        <f>SUM(G6:G17)</f>
        <v>10165445</v>
      </c>
      <c r="H18" s="47">
        <f t="shared" si="3"/>
        <v>-0.17603420214265086</v>
      </c>
      <c r="J18" s="40">
        <f>SUM(J6:J17)</f>
        <v>791825</v>
      </c>
      <c r="K18" s="40">
        <f>SUM(K6:K17)</f>
        <v>655494</v>
      </c>
      <c r="L18" s="47">
        <f t="shared" si="4"/>
        <v>0.20798207153688675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40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</row>
    <row r="23" spans="1:50" x14ac:dyDescent="0.25">
      <c r="A23" t="s">
        <v>52</v>
      </c>
    </row>
    <row r="24" spans="1:50" x14ac:dyDescent="0.25">
      <c r="D24" s="41"/>
      <c r="H24" s="41"/>
      <c r="L24" s="4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  <pageSetUpPr fitToPage="1"/>
  </sheetPr>
  <dimension ref="A1:AX23"/>
  <sheetViews>
    <sheetView zoomScaleNormal="100" zoomScaleSheetLayoutView="100" workbookViewId="0">
      <selection activeCell="C19" sqref="C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19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5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39">
        <v>475239</v>
      </c>
      <c r="C6" s="39">
        <v>469589</v>
      </c>
      <c r="D6" s="47">
        <f>B6/C6-1</f>
        <v>1.2031798019118911E-2</v>
      </c>
      <c r="E6" s="28"/>
      <c r="F6" s="44">
        <v>438999</v>
      </c>
      <c r="G6" s="44">
        <v>433030</v>
      </c>
      <c r="H6" s="47">
        <f>F6/G6-1</f>
        <v>1.3784264369674171E-2</v>
      </c>
      <c r="I6" s="28"/>
      <c r="J6" s="44">
        <v>36240</v>
      </c>
      <c r="K6" s="44">
        <v>36559</v>
      </c>
      <c r="L6" s="47">
        <f>J6/K6-1</f>
        <v>-8.7256215979649721E-3</v>
      </c>
    </row>
    <row r="7" spans="1:50" ht="25" customHeight="1" x14ac:dyDescent="0.25">
      <c r="A7" s="59" t="s">
        <v>4</v>
      </c>
      <c r="B7" s="54">
        <v>450093</v>
      </c>
      <c r="C7" s="54">
        <v>449893</v>
      </c>
      <c r="D7" s="52">
        <f>B7/C7-1</f>
        <v>4.4455014859079434E-4</v>
      </c>
      <c r="E7" s="28"/>
      <c r="F7" s="45">
        <f>B7-J7</f>
        <v>417881</v>
      </c>
      <c r="G7" s="45">
        <v>417938</v>
      </c>
      <c r="H7" s="49">
        <f>F7/G7-1</f>
        <v>-1.3638386554948312E-4</v>
      </c>
      <c r="I7" s="28"/>
      <c r="J7" s="45">
        <f>16148+16064</f>
        <v>32212</v>
      </c>
      <c r="K7" s="45">
        <v>31955</v>
      </c>
      <c r="L7" s="49">
        <f>J7/K7-1</f>
        <v>8.0425598497888551E-3</v>
      </c>
      <c r="N7" s="2"/>
      <c r="O7" s="2"/>
    </row>
    <row r="8" spans="1:50" ht="25" customHeight="1" x14ac:dyDescent="0.25">
      <c r="A8" s="58" t="s">
        <v>5</v>
      </c>
      <c r="B8" s="39">
        <v>559619</v>
      </c>
      <c r="C8" s="39">
        <v>557000</v>
      </c>
      <c r="D8" s="47">
        <f t="shared" ref="D8:D18" si="0">B8/C8-1</f>
        <v>4.701974865350067E-3</v>
      </c>
      <c r="E8" s="28"/>
      <c r="F8" s="44">
        <v>524594</v>
      </c>
      <c r="G8" s="44">
        <v>521925</v>
      </c>
      <c r="H8" s="48">
        <f t="shared" ref="H8:H18" si="1">F8/G8-1</f>
        <v>5.1137615557790284E-3</v>
      </c>
      <c r="I8" s="28"/>
      <c r="J8" s="44">
        <v>35025</v>
      </c>
      <c r="K8" s="44">
        <v>35075</v>
      </c>
      <c r="L8" s="48">
        <f t="shared" ref="L8:L18" si="2">J8/K8-1</f>
        <v>-1.4255167498218313E-3</v>
      </c>
      <c r="N8" s="2"/>
      <c r="O8" s="2"/>
    </row>
    <row r="9" spans="1:50" ht="25" customHeight="1" x14ac:dyDescent="0.25">
      <c r="A9" s="59" t="s">
        <v>6</v>
      </c>
      <c r="B9" s="54">
        <v>575623</v>
      </c>
      <c r="C9" s="54">
        <v>573467</v>
      </c>
      <c r="D9" s="52">
        <f t="shared" si="0"/>
        <v>3.7595886075396656E-3</v>
      </c>
      <c r="E9" s="28"/>
      <c r="F9" s="45">
        <f>B9-J9</f>
        <v>542542</v>
      </c>
      <c r="G9" s="45">
        <v>543237</v>
      </c>
      <c r="H9" s="49">
        <f t="shared" si="1"/>
        <v>-1.2793679370145528E-3</v>
      </c>
      <c r="I9" s="28"/>
      <c r="J9" s="45">
        <f>15546+17535</f>
        <v>33081</v>
      </c>
      <c r="K9" s="45">
        <v>30230</v>
      </c>
      <c r="L9" s="49">
        <f t="shared" si="2"/>
        <v>9.4310287793582637E-2</v>
      </c>
      <c r="N9" s="2"/>
    </row>
    <row r="10" spans="1:50" ht="25" customHeight="1" x14ac:dyDescent="0.25">
      <c r="A10" s="58" t="s">
        <v>7</v>
      </c>
      <c r="B10" s="39">
        <v>630137</v>
      </c>
      <c r="C10" s="39">
        <v>618661</v>
      </c>
      <c r="D10" s="47">
        <f t="shared" si="0"/>
        <v>1.8549738871530552E-2</v>
      </c>
      <c r="E10" s="28"/>
      <c r="F10" s="44">
        <f>B10-J10</f>
        <v>595141</v>
      </c>
      <c r="G10" s="44">
        <v>587357</v>
      </c>
      <c r="H10" s="48">
        <f t="shared" si="1"/>
        <v>1.3252587438304042E-2</v>
      </c>
      <c r="I10" s="28"/>
      <c r="J10" s="44">
        <f>16967+18029</f>
        <v>34996</v>
      </c>
      <c r="K10" s="44">
        <v>31304</v>
      </c>
      <c r="L10" s="48">
        <f t="shared" si="2"/>
        <v>0.11794019933554822</v>
      </c>
    </row>
    <row r="11" spans="1:50" ht="25" customHeight="1" x14ac:dyDescent="0.25">
      <c r="A11" s="59" t="s">
        <v>8</v>
      </c>
      <c r="B11" s="54">
        <v>659787</v>
      </c>
      <c r="C11" s="54">
        <v>652729</v>
      </c>
      <c r="D11" s="52">
        <f t="shared" si="0"/>
        <v>1.0813063308049653E-2</v>
      </c>
      <c r="E11" s="28"/>
      <c r="F11" s="45">
        <v>625139</v>
      </c>
      <c r="G11" s="45">
        <v>621502</v>
      </c>
      <c r="H11" s="49">
        <f t="shared" si="1"/>
        <v>5.851952206107125E-3</v>
      </c>
      <c r="I11" s="28"/>
      <c r="J11" s="45">
        <v>34648</v>
      </c>
      <c r="K11" s="45">
        <v>31227</v>
      </c>
      <c r="L11" s="49">
        <f t="shared" si="2"/>
        <v>0.10955263073622179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39">
        <v>681912</v>
      </c>
      <c r="C12" s="39">
        <v>666322</v>
      </c>
      <c r="D12" s="47">
        <f t="shared" si="0"/>
        <v>2.3397096298786391E-2</v>
      </c>
      <c r="E12" s="28"/>
      <c r="F12" s="44">
        <v>638693</v>
      </c>
      <c r="G12" s="44">
        <v>635550</v>
      </c>
      <c r="H12" s="48">
        <f t="shared" si="1"/>
        <v>4.945322948627151E-3</v>
      </c>
      <c r="I12" s="28"/>
      <c r="J12" s="44">
        <v>43219</v>
      </c>
      <c r="K12" s="44">
        <v>30772</v>
      </c>
      <c r="L12" s="48">
        <f t="shared" si="2"/>
        <v>0.40449109580137788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646820</v>
      </c>
      <c r="C13" s="54">
        <v>643472</v>
      </c>
      <c r="D13" s="52">
        <f t="shared" si="0"/>
        <v>5.2030235969864336E-3</v>
      </c>
      <c r="E13" s="28"/>
      <c r="F13" s="45">
        <f>B13-J13</f>
        <v>605930</v>
      </c>
      <c r="G13" s="45">
        <v>617052</v>
      </c>
      <c r="H13" s="49">
        <f t="shared" si="1"/>
        <v>-1.802441285337375E-2</v>
      </c>
      <c r="I13" s="28"/>
      <c r="J13" s="45">
        <f>26649+14241</f>
        <v>40890</v>
      </c>
      <c r="K13" s="45">
        <v>26420</v>
      </c>
      <c r="L13" s="49">
        <f t="shared" si="2"/>
        <v>0.54769114307342925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v>599086</v>
      </c>
      <c r="C14" s="39">
        <v>606015</v>
      </c>
      <c r="D14" s="47">
        <f t="shared" si="0"/>
        <v>-1.1433710386706597E-2</v>
      </c>
      <c r="E14" s="28"/>
      <c r="F14" s="44">
        <f>B14-J14</f>
        <v>564478</v>
      </c>
      <c r="G14" s="44">
        <v>579197</v>
      </c>
      <c r="H14" s="48">
        <f t="shared" si="1"/>
        <v>-2.5412769748462072E-2</v>
      </c>
      <c r="I14" s="46"/>
      <c r="J14" s="44">
        <f>10326+24282</f>
        <v>34608</v>
      </c>
      <c r="K14" s="44">
        <v>26818</v>
      </c>
      <c r="L14" s="48">
        <f t="shared" si="2"/>
        <v>0.29047654560369907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v>639598</v>
      </c>
      <c r="C15" s="54">
        <v>642853</v>
      </c>
      <c r="D15" s="52">
        <f t="shared" si="0"/>
        <v>-5.0633659639139905E-3</v>
      </c>
      <c r="F15" s="45">
        <f>B15-J15</f>
        <v>597391</v>
      </c>
      <c r="G15" s="45">
        <v>613813</v>
      </c>
      <c r="H15" s="49">
        <f>J15/G15-1</f>
        <v>-0.93123801548680141</v>
      </c>
      <c r="J15" s="45">
        <f>14340+27867</f>
        <v>42207</v>
      </c>
      <c r="K15" s="45">
        <v>29040</v>
      </c>
      <c r="L15" s="49">
        <f t="shared" si="2"/>
        <v>0.45340909090909087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593799</v>
      </c>
      <c r="C16" s="39">
        <v>600909</v>
      </c>
      <c r="D16" s="47">
        <f t="shared" si="0"/>
        <v>-1.1832074407272963E-2</v>
      </c>
      <c r="F16" s="44">
        <v>547959</v>
      </c>
      <c r="G16" s="44">
        <v>572328</v>
      </c>
      <c r="H16" s="48">
        <f>J16/G16-1</f>
        <v>-0.91990606784920537</v>
      </c>
      <c r="J16" s="44">
        <v>45840</v>
      </c>
      <c r="K16" s="44">
        <v>28581</v>
      </c>
      <c r="L16" s="48">
        <f t="shared" si="2"/>
        <v>0.60386270599349223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604995</v>
      </c>
      <c r="C17" s="54">
        <v>603886</v>
      </c>
      <c r="D17" s="52">
        <f t="shared" si="0"/>
        <v>1.8364393279526325E-3</v>
      </c>
      <c r="F17" s="45">
        <v>555219</v>
      </c>
      <c r="G17" s="45">
        <v>570102</v>
      </c>
      <c r="H17" s="49">
        <f t="shared" si="1"/>
        <v>-2.6105854741783063E-2</v>
      </c>
      <c r="J17" s="45">
        <v>49776</v>
      </c>
      <c r="K17" s="45">
        <v>33784</v>
      </c>
      <c r="L17" s="49">
        <f t="shared" si="2"/>
        <v>0.47336017049490886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7116708</v>
      </c>
      <c r="C18" s="40">
        <f>SUM(C6:C17)</f>
        <v>7084796</v>
      </c>
      <c r="D18" s="47">
        <f t="shared" si="0"/>
        <v>4.504293419316463E-3</v>
      </c>
      <c r="F18" s="40">
        <f>SUM(F6:F17)</f>
        <v>6653966</v>
      </c>
      <c r="G18" s="40">
        <f>SUM(G6:G17)</f>
        <v>6713031</v>
      </c>
      <c r="H18" s="47">
        <f t="shared" si="1"/>
        <v>-8.7985591009486219E-3</v>
      </c>
      <c r="J18" s="40">
        <f>SUM(J6:J17)</f>
        <v>462742</v>
      </c>
      <c r="K18" s="40">
        <f>SUM(K6:K17)</f>
        <v>371765</v>
      </c>
      <c r="L18" s="47">
        <f t="shared" si="2"/>
        <v>0.24471642031928775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G19" s="6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54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50</v>
      </c>
      <c r="J21" s="79"/>
    </row>
    <row r="23" spans="1:50" x14ac:dyDescent="0.25">
      <c r="D23" s="41"/>
      <c r="H23" s="41"/>
      <c r="L23" s="4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AX23"/>
  <sheetViews>
    <sheetView zoomScaleNormal="100" zoomScaleSheetLayoutView="90" workbookViewId="0">
      <selection activeCell="K18" sqref="K1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23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39">
        <v>813483</v>
      </c>
      <c r="C6" s="39">
        <v>884884</v>
      </c>
      <c r="D6" s="60">
        <f>B6/C6-1</f>
        <v>-8.0689672318631556E-2</v>
      </c>
      <c r="E6" s="28"/>
      <c r="F6" s="44">
        <v>790112</v>
      </c>
      <c r="G6" s="44">
        <v>858826</v>
      </c>
      <c r="H6" s="61">
        <f>F6/G6-1</f>
        <v>-8.0009221891279458E-2</v>
      </c>
      <c r="I6" s="28"/>
      <c r="J6" s="44">
        <v>23371</v>
      </c>
      <c r="K6" s="44">
        <v>26058</v>
      </c>
      <c r="L6" s="48">
        <f>J6/K6-1</f>
        <v>-0.10311612556604499</v>
      </c>
    </row>
    <row r="7" spans="1:50" ht="25" customHeight="1" x14ac:dyDescent="0.25">
      <c r="A7" s="59" t="s">
        <v>4</v>
      </c>
      <c r="B7" s="54">
        <v>783496</v>
      </c>
      <c r="C7" s="54">
        <v>856665</v>
      </c>
      <c r="D7" s="52">
        <f>B7/C7-1</f>
        <v>-8.5411450216829166E-2</v>
      </c>
      <c r="E7" s="28"/>
      <c r="F7" s="45">
        <f>B7-J7</f>
        <v>760067</v>
      </c>
      <c r="G7" s="45">
        <v>828835</v>
      </c>
      <c r="H7" s="49">
        <f>F7/G7-1</f>
        <v>-8.2969469194713041E-2</v>
      </c>
      <c r="I7" s="28"/>
      <c r="J7" s="45">
        <v>23429</v>
      </c>
      <c r="K7" s="45">
        <v>27830</v>
      </c>
      <c r="L7" s="49">
        <f>J7/K7-1</f>
        <v>-0.15813869924541857</v>
      </c>
      <c r="N7" s="2"/>
      <c r="O7" s="2"/>
    </row>
    <row r="8" spans="1:50" ht="25" customHeight="1" x14ac:dyDescent="0.25">
      <c r="A8" s="58" t="s">
        <v>5</v>
      </c>
      <c r="B8" s="39">
        <v>928717</v>
      </c>
      <c r="C8" s="39">
        <v>964073</v>
      </c>
      <c r="D8" s="47">
        <f t="shared" ref="D8:D18" si="0">B8/C8-1</f>
        <v>-3.6673571399676197E-2</v>
      </c>
      <c r="E8" s="28"/>
      <c r="F8" s="44">
        <v>900610</v>
      </c>
      <c r="G8" s="44">
        <v>932946</v>
      </c>
      <c r="H8" s="48">
        <f t="shared" ref="H8:H18" si="1">F8/G8-1</f>
        <v>-3.4660098226478309E-2</v>
      </c>
      <c r="I8" s="28"/>
      <c r="J8" s="44">
        <v>28107</v>
      </c>
      <c r="K8" s="44">
        <v>31127</v>
      </c>
      <c r="L8" s="48">
        <f t="shared" ref="L8:L18" si="2">J8/K8-1</f>
        <v>-9.7021878112249826E-2</v>
      </c>
      <c r="N8" s="2"/>
      <c r="O8" s="2"/>
    </row>
    <row r="9" spans="1:50" ht="25" customHeight="1" x14ac:dyDescent="0.25">
      <c r="A9" s="59" t="s">
        <v>6</v>
      </c>
      <c r="B9" s="54">
        <v>910435</v>
      </c>
      <c r="C9" s="54">
        <v>916552</v>
      </c>
      <c r="D9" s="52">
        <f t="shared" si="0"/>
        <v>-6.6739257565310295E-3</v>
      </c>
      <c r="E9" s="28"/>
      <c r="F9" s="45">
        <f t="shared" ref="F9:F15" si="3">B9-J9</f>
        <v>883150</v>
      </c>
      <c r="G9" s="45">
        <v>886979</v>
      </c>
      <c r="H9" s="49">
        <f t="shared" si="1"/>
        <v>-4.3169004001222255E-3</v>
      </c>
      <c r="I9" s="28"/>
      <c r="J9" s="45">
        <v>27285</v>
      </c>
      <c r="K9" s="45">
        <v>29573</v>
      </c>
      <c r="L9" s="49">
        <f>J9/K9-1</f>
        <v>-7.7367869340276618E-2</v>
      </c>
      <c r="N9" s="2"/>
    </row>
    <row r="10" spans="1:50" ht="25" customHeight="1" x14ac:dyDescent="0.25">
      <c r="A10" s="58" t="s">
        <v>7</v>
      </c>
      <c r="B10" s="39">
        <v>980663</v>
      </c>
      <c r="C10" s="39">
        <v>950740</v>
      </c>
      <c r="D10" s="47">
        <f t="shared" si="0"/>
        <v>3.1473378631381888E-2</v>
      </c>
      <c r="E10" s="28"/>
      <c r="F10" s="80">
        <f t="shared" si="3"/>
        <v>956111</v>
      </c>
      <c r="G10" s="44">
        <v>920356</v>
      </c>
      <c r="H10" s="48">
        <f t="shared" si="1"/>
        <v>3.884909752313237E-2</v>
      </c>
      <c r="I10" s="28"/>
      <c r="J10" s="44">
        <v>24552</v>
      </c>
      <c r="K10" s="44">
        <v>30384</v>
      </c>
      <c r="L10" s="48">
        <f t="shared" si="2"/>
        <v>-0.19194312796208535</v>
      </c>
    </row>
    <row r="11" spans="1:50" ht="25" customHeight="1" x14ac:dyDescent="0.25">
      <c r="A11" s="59" t="s">
        <v>8</v>
      </c>
      <c r="B11" s="54">
        <v>1022397</v>
      </c>
      <c r="C11" s="54">
        <v>963531</v>
      </c>
      <c r="D11" s="52">
        <f t="shared" si="0"/>
        <v>6.1094038489680091E-2</v>
      </c>
      <c r="E11" s="28"/>
      <c r="F11" s="45">
        <f t="shared" si="3"/>
        <v>996918</v>
      </c>
      <c r="G11" s="45">
        <v>931858</v>
      </c>
      <c r="H11" s="49">
        <f t="shared" si="1"/>
        <v>6.9817504383715034E-2</v>
      </c>
      <c r="I11" s="28"/>
      <c r="J11" s="45">
        <v>25479</v>
      </c>
      <c r="K11" s="45">
        <v>31673</v>
      </c>
      <c r="L11" s="49">
        <f t="shared" si="2"/>
        <v>-0.19556088782243553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39">
        <v>1052623</v>
      </c>
      <c r="C12" s="39">
        <v>970828</v>
      </c>
      <c r="D12" s="47">
        <f t="shared" si="0"/>
        <v>8.4252823363149876E-2</v>
      </c>
      <c r="E12" s="28"/>
      <c r="F12" s="44">
        <f t="shared" si="3"/>
        <v>1024907</v>
      </c>
      <c r="G12" s="44">
        <v>937206</v>
      </c>
      <c r="H12" s="48">
        <f t="shared" si="1"/>
        <v>9.3577079105340744E-2</v>
      </c>
      <c r="I12" s="28"/>
      <c r="J12" s="44">
        <v>27716</v>
      </c>
      <c r="K12" s="44">
        <v>33622</v>
      </c>
      <c r="L12" s="48">
        <f t="shared" si="2"/>
        <v>-0.17565879483671409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1034529</v>
      </c>
      <c r="C13" s="54">
        <v>947733</v>
      </c>
      <c r="D13" s="52">
        <f t="shared" si="0"/>
        <v>9.1582755902769986E-2</v>
      </c>
      <c r="E13" s="28"/>
      <c r="F13" s="45">
        <f t="shared" si="3"/>
        <v>1009899</v>
      </c>
      <c r="G13" s="45">
        <v>917099</v>
      </c>
      <c r="H13" s="49">
        <f t="shared" si="1"/>
        <v>0.10118863939443834</v>
      </c>
      <c r="I13" s="28"/>
      <c r="J13" s="45">
        <v>24630</v>
      </c>
      <c r="K13" s="45">
        <v>30634</v>
      </c>
      <c r="L13" s="49">
        <f t="shared" si="2"/>
        <v>-0.1959913821244369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v>961137</v>
      </c>
      <c r="C14" s="39">
        <v>879703</v>
      </c>
      <c r="D14" s="47">
        <f t="shared" si="0"/>
        <v>9.2569878697696728E-2</v>
      </c>
      <c r="E14" s="28"/>
      <c r="F14" s="44">
        <f t="shared" si="3"/>
        <v>938488</v>
      </c>
      <c r="G14" s="44">
        <v>852643</v>
      </c>
      <c r="H14" s="48">
        <f t="shared" si="1"/>
        <v>0.10068105877841016</v>
      </c>
      <c r="I14" s="46"/>
      <c r="J14" s="44">
        <v>22649</v>
      </c>
      <c r="K14" s="44">
        <v>27060</v>
      </c>
      <c r="L14" s="48">
        <f t="shared" si="2"/>
        <v>-0.16300813008130077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v>1007895</v>
      </c>
      <c r="C15" s="54">
        <v>930049</v>
      </c>
      <c r="D15" s="52">
        <f t="shared" si="0"/>
        <v>8.3700966293173806E-2</v>
      </c>
      <c r="F15" s="45">
        <f t="shared" si="3"/>
        <v>985191</v>
      </c>
      <c r="G15" s="45">
        <v>901419</v>
      </c>
      <c r="H15" s="49">
        <f t="shared" si="1"/>
        <v>9.2933474887926693E-2</v>
      </c>
      <c r="J15" s="45">
        <v>22704</v>
      </c>
      <c r="K15" s="45">
        <v>28630</v>
      </c>
      <c r="L15" s="49">
        <f t="shared" si="2"/>
        <v>-0.20698567935731749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910916</v>
      </c>
      <c r="C16" s="56">
        <v>882996</v>
      </c>
      <c r="D16" s="47">
        <f t="shared" si="0"/>
        <v>3.1619622285944615E-2</v>
      </c>
      <c r="F16" s="44">
        <v>887889</v>
      </c>
      <c r="G16" s="44">
        <v>853540</v>
      </c>
      <c r="H16" s="48">
        <f t="shared" si="1"/>
        <v>4.0242988026337301E-2</v>
      </c>
      <c r="J16" s="44">
        <v>23027</v>
      </c>
      <c r="K16" s="44">
        <v>29456</v>
      </c>
      <c r="L16" s="48">
        <f t="shared" si="2"/>
        <v>-0.21825774035850076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961634</v>
      </c>
      <c r="C17" s="54">
        <v>941651</v>
      </c>
      <c r="D17" s="52">
        <f t="shared" si="0"/>
        <v>2.1221238017057331E-2</v>
      </c>
      <c r="F17" s="45">
        <v>937229</v>
      </c>
      <c r="G17" s="45">
        <v>911610</v>
      </c>
      <c r="H17" s="49">
        <f t="shared" si="1"/>
        <v>2.8103026513530915E-2</v>
      </c>
      <c r="J17" s="45">
        <v>24405</v>
      </c>
      <c r="K17" s="45">
        <v>30041</v>
      </c>
      <c r="L17" s="49">
        <f t="shared" si="2"/>
        <v>-0.18761026596984121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28</v>
      </c>
      <c r="B18" s="40">
        <f>SUM(B6:B17)</f>
        <v>11367925</v>
      </c>
      <c r="C18" s="40">
        <f>SUM(C6:C17)</f>
        <v>11089405</v>
      </c>
      <c r="D18" s="47">
        <f t="shared" si="0"/>
        <v>2.5115865098262802E-2</v>
      </c>
      <c r="F18" s="40">
        <f>SUM(F6:F17)</f>
        <v>11070571</v>
      </c>
      <c r="G18" s="40">
        <f>SUM(G6:G17)</f>
        <v>10733317</v>
      </c>
      <c r="H18" s="47">
        <f t="shared" si="1"/>
        <v>3.142122793913571E-2</v>
      </c>
      <c r="J18" s="40">
        <f>SUM(J6:J17)</f>
        <v>297354</v>
      </c>
      <c r="K18" s="40">
        <f>SUM(K6:K17)</f>
        <v>356088</v>
      </c>
      <c r="L18" s="47">
        <f t="shared" si="2"/>
        <v>-0.16494237379524157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39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</row>
    <row r="23" spans="1:50" x14ac:dyDescent="0.25">
      <c r="D23" s="41"/>
      <c r="H23" s="41"/>
      <c r="L23" s="4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  <pageSetUpPr fitToPage="1"/>
  </sheetPr>
  <dimension ref="A1:AX24"/>
  <sheetViews>
    <sheetView zoomScaleNormal="100" zoomScaleSheetLayoutView="90" workbookViewId="0">
      <selection activeCell="G18" sqref="G18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39">
        <v>939365</v>
      </c>
      <c r="C6" s="39">
        <v>934435</v>
      </c>
      <c r="D6" s="47">
        <f>B6/C6-1</f>
        <v>5.2759153927239844E-3</v>
      </c>
      <c r="E6" s="28"/>
      <c r="F6" s="44">
        <v>892319</v>
      </c>
      <c r="G6" s="44">
        <v>893660</v>
      </c>
      <c r="H6" s="47">
        <f>F6/G6-1</f>
        <v>-1.5005706868383983E-3</v>
      </c>
      <c r="I6" s="28"/>
      <c r="J6" s="44">
        <v>47046</v>
      </c>
      <c r="K6" s="44">
        <v>40775</v>
      </c>
      <c r="L6" s="47">
        <f>J6/K6-1</f>
        <v>0.15379521765787851</v>
      </c>
    </row>
    <row r="7" spans="1:50" ht="25" customHeight="1" x14ac:dyDescent="0.25">
      <c r="A7" s="59" t="s">
        <v>4</v>
      </c>
      <c r="B7" s="54">
        <f>F7+J7</f>
        <v>922357</v>
      </c>
      <c r="C7" s="54">
        <v>905134</v>
      </c>
      <c r="D7" s="52">
        <f>B7/C7-1</f>
        <v>1.9028121802959541E-2</v>
      </c>
      <c r="E7" s="28"/>
      <c r="F7" s="45">
        <f>394131+42809+276+392400+51550+276</f>
        <v>881442</v>
      </c>
      <c r="G7" s="45">
        <v>870814</v>
      </c>
      <c r="H7" s="49">
        <f>F7/G7-1</f>
        <v>1.2204672869292388E-2</v>
      </c>
      <c r="I7" s="28"/>
      <c r="J7" s="45">
        <f>21946+18969</f>
        <v>40915</v>
      </c>
      <c r="K7" s="45">
        <v>34320</v>
      </c>
      <c r="L7" s="49">
        <f>J7/K7-1</f>
        <v>0.19216200466200473</v>
      </c>
      <c r="N7" s="2"/>
      <c r="O7" s="2"/>
    </row>
    <row r="8" spans="1:50" ht="25" customHeight="1" x14ac:dyDescent="0.25">
      <c r="A8" s="58" t="s">
        <v>5</v>
      </c>
      <c r="B8" s="39">
        <v>1128857</v>
      </c>
      <c r="C8" s="39">
        <v>1088148</v>
      </c>
      <c r="D8" s="47">
        <f t="shared" ref="D8:D18" si="0">B8/C8-1</f>
        <v>3.7411271260894718E-2</v>
      </c>
      <c r="E8" s="28"/>
      <c r="F8" s="44">
        <v>1083556</v>
      </c>
      <c r="G8" s="44">
        <v>1052635</v>
      </c>
      <c r="H8" s="48">
        <f t="shared" ref="H8:H18" si="1">F8/G8-1</f>
        <v>2.9374854531722727E-2</v>
      </c>
      <c r="I8" s="28"/>
      <c r="J8" s="44">
        <v>45301</v>
      </c>
      <c r="K8" s="44">
        <v>35513</v>
      </c>
      <c r="L8" s="48">
        <f t="shared" ref="L8:L18" si="2">J8/K8-1</f>
        <v>0.27561737955115029</v>
      </c>
      <c r="N8" s="2"/>
      <c r="O8" s="2"/>
    </row>
    <row r="9" spans="1:50" ht="25" customHeight="1" x14ac:dyDescent="0.25">
      <c r="A9" s="59" t="s">
        <v>6</v>
      </c>
      <c r="B9" s="54">
        <f>F9+J9</f>
        <v>1157886</v>
      </c>
      <c r="C9" s="54">
        <v>1111287</v>
      </c>
      <c r="D9" s="52">
        <f t="shared" si="0"/>
        <v>4.1932462091250899E-2</v>
      </c>
      <c r="E9" s="28"/>
      <c r="F9" s="45">
        <f>506311+53693+372+502376+53723+372</f>
        <v>1116847</v>
      </c>
      <c r="G9" s="45">
        <v>1084789</v>
      </c>
      <c r="H9" s="49">
        <f t="shared" si="1"/>
        <v>2.9552290814158333E-2</v>
      </c>
      <c r="I9" s="28"/>
      <c r="J9" s="45">
        <f>19378+21661</f>
        <v>41039</v>
      </c>
      <c r="K9" s="45">
        <v>26498</v>
      </c>
      <c r="L9" s="49">
        <f t="shared" si="2"/>
        <v>0.54875839686014038</v>
      </c>
      <c r="N9" s="2"/>
    </row>
    <row r="10" spans="1:50" ht="25" customHeight="1" x14ac:dyDescent="0.25">
      <c r="A10" s="58" t="s">
        <v>7</v>
      </c>
      <c r="B10" s="39">
        <f>F10+J10</f>
        <v>1238628</v>
      </c>
      <c r="C10" s="39">
        <v>1192493</v>
      </c>
      <c r="D10" s="47">
        <f t="shared" si="0"/>
        <v>3.8687858125791896E-2</v>
      </c>
      <c r="E10" s="28"/>
      <c r="F10" s="44">
        <f>544750+52990+202+549617+52820+202</f>
        <v>1200581</v>
      </c>
      <c r="G10" s="44">
        <v>1163613</v>
      </c>
      <c r="H10" s="48">
        <f>F10/G10-1</f>
        <v>3.1770012882289977E-2</v>
      </c>
      <c r="I10" s="28"/>
      <c r="J10" s="44">
        <f>18745+19302</f>
        <v>38047</v>
      </c>
      <c r="K10" s="44">
        <v>28880</v>
      </c>
      <c r="L10" s="48">
        <f>J10/K10-1</f>
        <v>0.31741689750692514</v>
      </c>
    </row>
    <row r="11" spans="1:50" ht="25" customHeight="1" x14ac:dyDescent="0.25">
      <c r="A11" s="59" t="s">
        <v>8</v>
      </c>
      <c r="B11" s="54">
        <v>1297721</v>
      </c>
      <c r="C11" s="54">
        <v>1262523</v>
      </c>
      <c r="D11" s="52">
        <f t="shared" si="0"/>
        <v>2.7879096063992526E-2</v>
      </c>
      <c r="E11" s="28"/>
      <c r="F11" s="45">
        <v>1254723</v>
      </c>
      <c r="G11" s="45">
        <v>1222954</v>
      </c>
      <c r="H11" s="49">
        <f t="shared" si="1"/>
        <v>2.5977264884860851E-2</v>
      </c>
      <c r="I11" s="28"/>
      <c r="J11" s="45">
        <v>42998</v>
      </c>
      <c r="K11" s="45">
        <v>39569</v>
      </c>
      <c r="L11" s="49">
        <f t="shared" si="2"/>
        <v>8.6658748009805553E-2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39">
        <v>1328712</v>
      </c>
      <c r="C12" s="39">
        <v>1286472</v>
      </c>
      <c r="D12" s="47">
        <f t="shared" si="0"/>
        <v>3.2833983172583681E-2</v>
      </c>
      <c r="E12" s="28"/>
      <c r="F12" s="44">
        <v>1274522</v>
      </c>
      <c r="G12" s="44">
        <v>1238009</v>
      </c>
      <c r="H12" s="48">
        <f t="shared" si="1"/>
        <v>2.9493323554190543E-2</v>
      </c>
      <c r="I12" s="28"/>
      <c r="J12" s="44">
        <v>54190</v>
      </c>
      <c r="K12" s="44">
        <v>48463</v>
      </c>
      <c r="L12" s="48">
        <f t="shared" si="2"/>
        <v>0.1181726265398344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1242472</v>
      </c>
      <c r="C13" s="54">
        <v>1218689</v>
      </c>
      <c r="D13" s="52">
        <f t="shared" si="0"/>
        <v>1.9515233172696211E-2</v>
      </c>
      <c r="E13" s="28"/>
      <c r="F13" s="45">
        <v>1201158</v>
      </c>
      <c r="G13" s="45">
        <v>1179505</v>
      </c>
      <c r="H13" s="49">
        <f t="shared" si="1"/>
        <v>1.835770089995381E-2</v>
      </c>
      <c r="I13" s="28"/>
      <c r="J13" s="45">
        <v>41314</v>
      </c>
      <c r="K13" s="45">
        <v>39184</v>
      </c>
      <c r="L13" s="49">
        <f t="shared" si="2"/>
        <v>5.435892200898329E-2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f>F14+J14</f>
        <v>1169982</v>
      </c>
      <c r="C14" s="39">
        <v>1152438</v>
      </c>
      <c r="D14" s="47">
        <f t="shared" si="0"/>
        <v>1.5223378611257221E-2</v>
      </c>
      <c r="E14" s="28"/>
      <c r="F14" s="44">
        <f>135+49114+518161+519615+48582+140</f>
        <v>1135747</v>
      </c>
      <c r="G14" s="44">
        <v>1124556</v>
      </c>
      <c r="H14" s="48">
        <f t="shared" si="1"/>
        <v>9.9514830742089E-3</v>
      </c>
      <c r="I14" s="46"/>
      <c r="J14" s="44">
        <f>17061+17174</f>
        <v>34235</v>
      </c>
      <c r="K14" s="44">
        <v>27882</v>
      </c>
      <c r="L14" s="48">
        <f t="shared" si="2"/>
        <v>0.22785309518685892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f>F15+J15</f>
        <v>1246844</v>
      </c>
      <c r="C15" s="54">
        <v>1217088</v>
      </c>
      <c r="D15" s="52">
        <f t="shared" si="0"/>
        <v>2.4448519745490893E-2</v>
      </c>
      <c r="F15" s="45">
        <f>548318+56515+743+544962+57092+602</f>
        <v>1208232</v>
      </c>
      <c r="G15" s="45">
        <v>1186758</v>
      </c>
      <c r="H15" s="49">
        <f t="shared" si="1"/>
        <v>1.8094674735708471E-2</v>
      </c>
      <c r="J15" s="45">
        <f>18634+19978</f>
        <v>38612</v>
      </c>
      <c r="K15" s="45">
        <v>30330</v>
      </c>
      <c r="L15" s="49">
        <f t="shared" si="2"/>
        <v>0.27306297395318158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1100961</v>
      </c>
      <c r="C16" s="56">
        <v>1116172</v>
      </c>
      <c r="D16" s="47">
        <f t="shared" si="0"/>
        <v>-1.3627827969166062E-2</v>
      </c>
      <c r="F16" s="44">
        <v>1062995</v>
      </c>
      <c r="G16" s="44">
        <v>1082933</v>
      </c>
      <c r="H16" s="48">
        <f t="shared" si="1"/>
        <v>-1.8411111306054995E-2</v>
      </c>
      <c r="J16" s="44">
        <v>37966</v>
      </c>
      <c r="K16" s="44">
        <v>33239</v>
      </c>
      <c r="L16" s="48">
        <f t="shared" si="2"/>
        <v>0.14221246126538101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1138933</v>
      </c>
      <c r="C17" s="54">
        <v>1148525</v>
      </c>
      <c r="D17" s="52">
        <f t="shared" si="0"/>
        <v>-8.3515813761128044E-3</v>
      </c>
      <c r="F17" s="45">
        <v>1090143</v>
      </c>
      <c r="G17" s="45">
        <v>1107749</v>
      </c>
      <c r="H17" s="49">
        <f t="shared" si="1"/>
        <v>-1.5893492117799224E-2</v>
      </c>
      <c r="J17" s="45">
        <v>48790</v>
      </c>
      <c r="K17" s="45">
        <v>40776</v>
      </c>
      <c r="L17" s="49">
        <f t="shared" si="2"/>
        <v>0.1965371787325878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28</v>
      </c>
      <c r="B18" s="40">
        <f>SUM(B6:B17)</f>
        <v>13912718</v>
      </c>
      <c r="C18" s="40">
        <f>SUM(C6:C17)</f>
        <v>13633404</v>
      </c>
      <c r="D18" s="47">
        <f t="shared" si="0"/>
        <v>2.048747326786482E-2</v>
      </c>
      <c r="F18" s="40">
        <f>SUM(F6:F17)</f>
        <v>13402265</v>
      </c>
      <c r="G18" s="40">
        <f>SUM(G6:G17)</f>
        <v>13207975</v>
      </c>
      <c r="H18" s="47">
        <f t="shared" si="1"/>
        <v>1.4710052070813218E-2</v>
      </c>
      <c r="J18" s="40">
        <f>SUM(J6:J17)</f>
        <v>510453</v>
      </c>
      <c r="K18" s="40">
        <f>SUM(K6:K17)</f>
        <v>425429</v>
      </c>
      <c r="L18" s="47">
        <f t="shared" si="2"/>
        <v>0.19985473486762784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42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</row>
    <row r="23" spans="1:50" x14ac:dyDescent="0.25">
      <c r="D23" s="41"/>
      <c r="H23" s="41"/>
      <c r="L23" s="41"/>
    </row>
    <row r="24" spans="1:50" x14ac:dyDescent="0.25">
      <c r="C24" s="81"/>
      <c r="D24" s="8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AX23"/>
  <sheetViews>
    <sheetView topLeftCell="A2" zoomScaleNormal="100" zoomScaleSheetLayoutView="100" workbookViewId="0">
      <selection activeCell="C19" sqref="C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21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39">
        <v>1788014</v>
      </c>
      <c r="C6" s="39">
        <v>1705583</v>
      </c>
      <c r="D6" s="47">
        <f>B6/C6-1</f>
        <v>4.8330101789241464E-2</v>
      </c>
      <c r="E6" s="28"/>
      <c r="F6" s="44">
        <v>1719801</v>
      </c>
      <c r="G6" s="44">
        <v>1638681</v>
      </c>
      <c r="H6" s="48">
        <f t="shared" ref="H6:H18" si="0">F6/G6-1</f>
        <v>4.9503228511223352E-2</v>
      </c>
      <c r="I6" s="28"/>
      <c r="J6" s="44">
        <v>68213</v>
      </c>
      <c r="K6" s="44">
        <v>66902</v>
      </c>
      <c r="L6" s="47">
        <f>J6/K6-1</f>
        <v>1.95958267316374E-2</v>
      </c>
    </row>
    <row r="7" spans="1:50" ht="25" customHeight="1" x14ac:dyDescent="0.25">
      <c r="A7" s="59" t="s">
        <v>4</v>
      </c>
      <c r="B7" s="54">
        <f>F7+J7</f>
        <v>1631661</v>
      </c>
      <c r="C7" s="54">
        <v>1696831</v>
      </c>
      <c r="D7" s="52">
        <f>B7/C7-1</f>
        <v>-3.8406889077344797E-2</v>
      </c>
      <c r="E7" s="28"/>
      <c r="F7" s="45">
        <v>1574813</v>
      </c>
      <c r="G7" s="45">
        <v>1636516</v>
      </c>
      <c r="H7" s="49">
        <f>F7/G7-1</f>
        <v>-3.7703878238892874E-2</v>
      </c>
      <c r="I7" s="28"/>
      <c r="J7" s="45">
        <v>56848</v>
      </c>
      <c r="K7" s="45">
        <v>60315</v>
      </c>
      <c r="L7" s="49">
        <f>J7/K7-1</f>
        <v>-5.7481555168697684E-2</v>
      </c>
      <c r="N7" s="2"/>
      <c r="O7" s="2"/>
    </row>
    <row r="8" spans="1:50" ht="25" customHeight="1" x14ac:dyDescent="0.25">
      <c r="A8" s="58" t="s">
        <v>5</v>
      </c>
      <c r="B8" s="39">
        <v>1999137</v>
      </c>
      <c r="C8" s="39">
        <v>2030654</v>
      </c>
      <c r="D8" s="47">
        <f t="shared" ref="D8:D18" si="1">B8/C8-1</f>
        <v>-1.5520615525835502E-2</v>
      </c>
      <c r="E8" s="28"/>
      <c r="F8" s="44">
        <v>1925014</v>
      </c>
      <c r="G8" s="44">
        <v>1955110</v>
      </c>
      <c r="H8" s="48">
        <f t="shared" si="0"/>
        <v>-1.5393507270690665E-2</v>
      </c>
      <c r="I8" s="28"/>
      <c r="J8" s="44">
        <v>74123</v>
      </c>
      <c r="K8" s="44">
        <v>75544</v>
      </c>
      <c r="L8" s="48">
        <f t="shared" ref="L8:L18" si="2">J8/K8-1</f>
        <v>-1.8810229799851697E-2</v>
      </c>
      <c r="N8" s="2"/>
      <c r="O8" s="2"/>
    </row>
    <row r="9" spans="1:50" ht="25" customHeight="1" x14ac:dyDescent="0.25">
      <c r="A9" s="59" t="s">
        <v>6</v>
      </c>
      <c r="B9" s="54">
        <v>2038799</v>
      </c>
      <c r="C9" s="54">
        <f>G9+K9</f>
        <v>2064293</v>
      </c>
      <c r="D9" s="52">
        <f t="shared" si="1"/>
        <v>-1.2349991013872574E-2</v>
      </c>
      <c r="E9" s="28"/>
      <c r="F9" s="45">
        <v>1952381</v>
      </c>
      <c r="G9" s="45">
        <v>1982130</v>
      </c>
      <c r="H9" s="49">
        <f t="shared" si="0"/>
        <v>-1.500860185759767E-2</v>
      </c>
      <c r="I9" s="28"/>
      <c r="J9" s="45">
        <v>86418</v>
      </c>
      <c r="K9" s="45">
        <v>82163</v>
      </c>
      <c r="L9" s="49">
        <f t="shared" si="2"/>
        <v>5.1787300853182172E-2</v>
      </c>
      <c r="N9" s="2"/>
    </row>
    <row r="10" spans="1:50" ht="25" customHeight="1" x14ac:dyDescent="0.25">
      <c r="A10" s="58" t="s">
        <v>7</v>
      </c>
      <c r="B10" s="39">
        <v>2169067</v>
      </c>
      <c r="C10" s="39">
        <v>2180815</v>
      </c>
      <c r="D10" s="47">
        <f t="shared" si="1"/>
        <v>-5.3869768870812296E-3</v>
      </c>
      <c r="E10" s="28"/>
      <c r="F10" s="44">
        <v>2065836</v>
      </c>
      <c r="G10" s="44">
        <v>2093921</v>
      </c>
      <c r="H10" s="48">
        <f t="shared" si="0"/>
        <v>-1.341263591128794E-2</v>
      </c>
      <c r="I10" s="28"/>
      <c r="J10" s="44">
        <v>103231</v>
      </c>
      <c r="K10" s="44">
        <v>86894</v>
      </c>
      <c r="L10" s="48">
        <f t="shared" si="2"/>
        <v>0.1880106796786889</v>
      </c>
    </row>
    <row r="11" spans="1:50" ht="25" customHeight="1" x14ac:dyDescent="0.25">
      <c r="A11" s="59" t="s">
        <v>8</v>
      </c>
      <c r="B11" s="54">
        <v>2319522</v>
      </c>
      <c r="C11" s="54">
        <v>2334084</v>
      </c>
      <c r="D11" s="52">
        <f>B11/C11-1</f>
        <v>-6.238850015680697E-3</v>
      </c>
      <c r="E11" s="28"/>
      <c r="F11" s="45">
        <v>2204233</v>
      </c>
      <c r="G11" s="45">
        <v>2233355</v>
      </c>
      <c r="H11" s="49">
        <f t="shared" si="0"/>
        <v>-1.3039574989197833E-2</v>
      </c>
      <c r="I11" s="28"/>
      <c r="J11" s="45">
        <v>115289</v>
      </c>
      <c r="K11" s="45">
        <v>100729</v>
      </c>
      <c r="L11" s="49">
        <f t="shared" si="2"/>
        <v>0.14454625778077812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39">
        <v>2428862</v>
      </c>
      <c r="C12" s="39">
        <v>2449528</v>
      </c>
      <c r="D12" s="47">
        <v>-8.0000000000000002E-3</v>
      </c>
      <c r="E12" s="28"/>
      <c r="F12" s="44">
        <v>2307229</v>
      </c>
      <c r="G12" s="44">
        <v>2334210</v>
      </c>
      <c r="H12" s="48">
        <f t="shared" si="0"/>
        <v>-1.155894285432757E-2</v>
      </c>
      <c r="I12" s="28"/>
      <c r="J12" s="44">
        <v>121633</v>
      </c>
      <c r="K12" s="44">
        <v>115318</v>
      </c>
      <c r="L12" s="48">
        <f t="shared" si="2"/>
        <v>5.4761615706134359E-2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v>2315596</v>
      </c>
      <c r="C13" s="54">
        <v>2329113</v>
      </c>
      <c r="D13" s="52">
        <f t="shared" si="1"/>
        <v>-5.8034968676916598E-3</v>
      </c>
      <c r="E13" s="28"/>
      <c r="F13" s="45">
        <v>2207495</v>
      </c>
      <c r="G13" s="45">
        <v>2228992</v>
      </c>
      <c r="H13" s="49">
        <f t="shared" si="0"/>
        <v>-9.6442696967956598E-3</v>
      </c>
      <c r="I13" s="28"/>
      <c r="J13" s="45">
        <v>108101</v>
      </c>
      <c r="K13" s="45">
        <v>100121</v>
      </c>
      <c r="L13" s="49">
        <f t="shared" si="2"/>
        <v>7.970355869398027E-2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f>F14+J14</f>
        <v>2055757</v>
      </c>
      <c r="C14" s="39">
        <v>2085034</v>
      </c>
      <c r="D14" s="47">
        <f t="shared" si="1"/>
        <v>-1.4041497644642686E-2</v>
      </c>
      <c r="E14" s="28"/>
      <c r="F14" s="44">
        <v>1966273</v>
      </c>
      <c r="G14" s="44">
        <v>2003750</v>
      </c>
      <c r="H14" s="48">
        <f t="shared" si="0"/>
        <v>-1.8703431066749876E-2</v>
      </c>
      <c r="I14" s="28"/>
      <c r="J14" s="44">
        <v>89484</v>
      </c>
      <c r="K14" s="44">
        <v>81284</v>
      </c>
      <c r="L14" s="48">
        <f t="shared" si="2"/>
        <v>0.10088086216229519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v>2313717</v>
      </c>
      <c r="C15" s="54">
        <v>2197193</v>
      </c>
      <c r="D15" s="52">
        <f t="shared" si="1"/>
        <v>5.3033119985363086E-2</v>
      </c>
      <c r="F15" s="45">
        <v>2216954</v>
      </c>
      <c r="G15" s="45">
        <v>2115189</v>
      </c>
      <c r="H15" s="49">
        <f t="shared" si="0"/>
        <v>4.8111539914400092E-2</v>
      </c>
      <c r="I15" s="28"/>
      <c r="J15" s="45">
        <v>96763</v>
      </c>
      <c r="K15" s="45">
        <v>82004</v>
      </c>
      <c r="L15" s="49">
        <f t="shared" si="2"/>
        <v>0.17997902541339439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2070939</v>
      </c>
      <c r="C16" s="56">
        <v>2048882</v>
      </c>
      <c r="D16" s="47">
        <f t="shared" si="1"/>
        <v>1.0765383267557604E-2</v>
      </c>
      <c r="F16" s="44">
        <v>1992993</v>
      </c>
      <c r="G16" s="44">
        <v>1975261</v>
      </c>
      <c r="H16" s="48">
        <f t="shared" si="0"/>
        <v>8.9770415150201011E-3</v>
      </c>
      <c r="I16" s="28"/>
      <c r="J16" s="44">
        <v>77946</v>
      </c>
      <c r="K16" s="44">
        <v>73621</v>
      </c>
      <c r="L16" s="48">
        <f t="shared" si="2"/>
        <v>5.8746824954836185E-2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2189485</v>
      </c>
      <c r="C17" s="54">
        <v>2119909</v>
      </c>
      <c r="D17" s="52">
        <f t="shared" si="1"/>
        <v>3.2820276719425223E-2</v>
      </c>
      <c r="F17" s="45">
        <v>2106582</v>
      </c>
      <c r="G17" s="45">
        <v>2042945</v>
      </c>
      <c r="H17" s="49">
        <f t="shared" si="0"/>
        <v>3.1149639368656556E-2</v>
      </c>
      <c r="I17" s="28"/>
      <c r="J17" s="45">
        <v>82903</v>
      </c>
      <c r="K17" s="45">
        <v>76964</v>
      </c>
      <c r="L17" s="49">
        <f t="shared" si="2"/>
        <v>7.7165947715815086E-2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25320556</v>
      </c>
      <c r="C18" s="40">
        <f>SUM(C6:C17)</f>
        <v>25241919</v>
      </c>
      <c r="D18" s="47">
        <f t="shared" si="1"/>
        <v>3.115333663815445E-3</v>
      </c>
      <c r="F18" s="40">
        <f>SUM(F6:F17)</f>
        <v>24239604</v>
      </c>
      <c r="G18" s="40">
        <f>SUM(G6:G17)</f>
        <v>24240060</v>
      </c>
      <c r="H18" s="47">
        <f t="shared" si="0"/>
        <v>-1.8811834624155033E-5</v>
      </c>
      <c r="I18" s="28"/>
      <c r="J18" s="40">
        <f>SUM(J6:J17)</f>
        <v>1080952</v>
      </c>
      <c r="K18" s="40">
        <f>SUM(K6:K17)</f>
        <v>1001859</v>
      </c>
      <c r="L18" s="47">
        <f t="shared" si="2"/>
        <v>7.894623894180719E-2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I19" s="2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43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</row>
    <row r="23" spans="1:50" x14ac:dyDescent="0.25">
      <c r="D23" s="41"/>
      <c r="H23" s="41"/>
      <c r="L23" s="4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  <pageSetUpPr fitToPage="1"/>
  </sheetPr>
  <dimension ref="A1:AX28"/>
  <sheetViews>
    <sheetView zoomScaleNormal="100" zoomScaleSheetLayoutView="100" workbookViewId="0">
      <selection activeCell="C19" sqref="C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39">
        <v>4019311</v>
      </c>
      <c r="C6" s="39">
        <v>3608952</v>
      </c>
      <c r="D6" s="47">
        <f>B6/C6-1</f>
        <v>0.1137058625329459</v>
      </c>
      <c r="E6" s="28"/>
      <c r="F6" s="44">
        <v>2754427</v>
      </c>
      <c r="G6" s="44">
        <v>2467879</v>
      </c>
      <c r="H6" s="47">
        <f t="shared" ref="H6:H10" si="0">F6/G6-1</f>
        <v>0.11611104110047532</v>
      </c>
      <c r="I6" s="28"/>
      <c r="J6" s="44">
        <v>1264884</v>
      </c>
      <c r="K6" s="44">
        <v>1141073</v>
      </c>
      <c r="L6" s="47">
        <f>J6/K6-1</f>
        <v>0.10850401332780635</v>
      </c>
    </row>
    <row r="7" spans="1:50" ht="25" customHeight="1" x14ac:dyDescent="0.25">
      <c r="A7" s="59" t="s">
        <v>4</v>
      </c>
      <c r="B7" s="54">
        <f>F7+J7</f>
        <v>3540622</v>
      </c>
      <c r="C7" s="54">
        <v>3414049</v>
      </c>
      <c r="D7" s="52">
        <f>B7/C7-1</f>
        <v>3.707416032986055E-2</v>
      </c>
      <c r="E7" s="28"/>
      <c r="F7" s="45">
        <v>2510886</v>
      </c>
      <c r="G7" s="45">
        <v>2406607</v>
      </c>
      <c r="H7" s="49">
        <f t="shared" si="0"/>
        <v>4.3330298632057396E-2</v>
      </c>
      <c r="I7" s="28"/>
      <c r="J7" s="45">
        <v>1029736</v>
      </c>
      <c r="K7" s="45">
        <v>1007442</v>
      </c>
      <c r="L7" s="49">
        <f>J7/K7-1</f>
        <v>2.2129313647832882E-2</v>
      </c>
      <c r="N7" s="2"/>
      <c r="O7" s="2"/>
    </row>
    <row r="8" spans="1:50" ht="25" customHeight="1" x14ac:dyDescent="0.25">
      <c r="A8" s="58" t="s">
        <v>5</v>
      </c>
      <c r="B8" s="39">
        <v>4271953</v>
      </c>
      <c r="C8" s="39">
        <v>4128144</v>
      </c>
      <c r="D8" s="47">
        <f t="shared" ref="D8:D18" si="1">B8/C8-1</f>
        <v>3.4836236332841164E-2</v>
      </c>
      <c r="E8" s="28"/>
      <c r="F8" s="44">
        <v>3035856</v>
      </c>
      <c r="G8" s="44">
        <v>2892774</v>
      </c>
      <c r="H8" s="48">
        <f t="shared" si="0"/>
        <v>4.9461866015112044E-2</v>
      </c>
      <c r="I8" s="28"/>
      <c r="J8" s="44">
        <v>1236097</v>
      </c>
      <c r="K8" s="44">
        <v>1235370</v>
      </c>
      <c r="L8" s="48">
        <f t="shared" ref="L8:L18" si="2">J8/K8-1</f>
        <v>5.8848765956764915E-4</v>
      </c>
      <c r="N8" s="2"/>
      <c r="O8" s="2"/>
    </row>
    <row r="9" spans="1:50" ht="25" customHeight="1" x14ac:dyDescent="0.25">
      <c r="A9" s="59" t="s">
        <v>6</v>
      </c>
      <c r="B9" s="54">
        <f>F9+J9</f>
        <v>4451095</v>
      </c>
      <c r="C9" s="54">
        <v>4131837</v>
      </c>
      <c r="D9" s="52">
        <f t="shared" si="1"/>
        <v>7.726781090347945E-2</v>
      </c>
      <c r="E9" s="28"/>
      <c r="F9" s="45">
        <v>3159647</v>
      </c>
      <c r="G9" s="45">
        <v>2894330</v>
      </c>
      <c r="H9" s="49">
        <f t="shared" si="0"/>
        <v>9.1667847135606495E-2</v>
      </c>
      <c r="I9" s="28"/>
      <c r="J9" s="45">
        <v>1291448</v>
      </c>
      <c r="K9" s="45">
        <v>1237507</v>
      </c>
      <c r="L9" s="49">
        <f t="shared" si="2"/>
        <v>4.3588440307812393E-2</v>
      </c>
      <c r="N9" s="2"/>
    </row>
    <row r="10" spans="1:50" ht="25" customHeight="1" x14ac:dyDescent="0.25">
      <c r="A10" s="58" t="s">
        <v>7</v>
      </c>
      <c r="B10" s="39">
        <f>F10+J10</f>
        <v>4855129</v>
      </c>
      <c r="C10" s="39">
        <v>4498408</v>
      </c>
      <c r="D10" s="47">
        <f>B10/C10-1</f>
        <v>7.9299387694490964E-2</v>
      </c>
      <c r="E10" s="28"/>
      <c r="F10" s="44">
        <v>3469378</v>
      </c>
      <c r="G10" s="44">
        <v>3125864</v>
      </c>
      <c r="H10" s="48">
        <f t="shared" si="0"/>
        <v>0.10989409648020509</v>
      </c>
      <c r="I10" s="28"/>
      <c r="J10" s="44">
        <v>1385751</v>
      </c>
      <c r="K10" s="44">
        <v>1372544</v>
      </c>
      <c r="L10" s="48">
        <f t="shared" si="2"/>
        <v>9.6222780471881819E-3</v>
      </c>
    </row>
    <row r="11" spans="1:50" ht="25" customHeight="1" x14ac:dyDescent="0.25">
      <c r="A11" s="59" t="s">
        <v>8</v>
      </c>
      <c r="B11" s="54">
        <v>5113636</v>
      </c>
      <c r="C11" s="54">
        <v>4647504</v>
      </c>
      <c r="D11" s="52">
        <f t="shared" si="1"/>
        <v>0.10029727785064835</v>
      </c>
      <c r="E11" s="28"/>
      <c r="F11" s="45">
        <v>3568803</v>
      </c>
      <c r="G11" s="45">
        <v>3122403</v>
      </c>
      <c r="H11" s="49">
        <f>F11/G11-1</f>
        <v>0.14296681113872878</v>
      </c>
      <c r="I11" s="28"/>
      <c r="J11" s="45">
        <v>1544833</v>
      </c>
      <c r="K11" s="45">
        <v>1525101</v>
      </c>
      <c r="L11" s="49">
        <f t="shared" si="2"/>
        <v>1.293815950550159E-2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39">
        <v>5257003</v>
      </c>
      <c r="C12" s="39">
        <v>4980094</v>
      </c>
      <c r="D12" s="47">
        <f t="shared" si="1"/>
        <v>5.5603167329773218E-2</v>
      </c>
      <c r="E12" s="28"/>
      <c r="F12" s="44">
        <v>3679603</v>
      </c>
      <c r="G12" s="44">
        <v>3378733</v>
      </c>
      <c r="H12" s="49">
        <f>F12/G12-1</f>
        <v>8.9048172791398539E-2</v>
      </c>
      <c r="I12" s="28"/>
      <c r="J12" s="44">
        <v>1577400</v>
      </c>
      <c r="K12" s="44">
        <v>1601361</v>
      </c>
      <c r="L12" s="48">
        <f t="shared" si="2"/>
        <v>-1.4962897185581525E-2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f>F13+J13</f>
        <v>4813444</v>
      </c>
      <c r="C13" s="54">
        <v>4851557</v>
      </c>
      <c r="D13" s="52">
        <f t="shared" si="1"/>
        <v>-7.8558285515351045E-3</v>
      </c>
      <c r="E13" s="28"/>
      <c r="F13" s="45">
        <v>3354441</v>
      </c>
      <c r="G13" s="45">
        <v>3354366</v>
      </c>
      <c r="H13" s="49">
        <f t="shared" ref="H13:H18" si="3">F13/G13-1</f>
        <v>2.2358919688603152E-5</v>
      </c>
      <c r="I13" s="28"/>
      <c r="J13" s="45">
        <v>1459003</v>
      </c>
      <c r="K13" s="45">
        <v>1497191</v>
      </c>
      <c r="L13" s="49">
        <f t="shared" si="2"/>
        <v>-2.5506431711117661E-2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f>F14+J14</f>
        <v>4414587</v>
      </c>
      <c r="C14" s="39">
        <v>4402598</v>
      </c>
      <c r="D14" s="47">
        <f t="shared" si="1"/>
        <v>2.7231648222254545E-3</v>
      </c>
      <c r="E14" s="28"/>
      <c r="F14" s="44">
        <v>3160330</v>
      </c>
      <c r="G14" s="44">
        <v>3080732</v>
      </c>
      <c r="H14" s="48">
        <f t="shared" si="3"/>
        <v>2.5837365924721745E-2</v>
      </c>
      <c r="I14" s="46"/>
      <c r="J14" s="44">
        <v>1254257</v>
      </c>
      <c r="K14" s="44">
        <v>1321866</v>
      </c>
      <c r="L14" s="48">
        <f t="shared" si="2"/>
        <v>-5.1146636648495392E-2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f>F15+J15</f>
        <v>4788331</v>
      </c>
      <c r="C15" s="54">
        <v>4664348</v>
      </c>
      <c r="D15" s="52">
        <f t="shared" si="1"/>
        <v>2.6580992670358183E-2</v>
      </c>
      <c r="F15" s="45">
        <v>3458277</v>
      </c>
      <c r="G15" s="45">
        <v>3329256</v>
      </c>
      <c r="H15" s="49">
        <f t="shared" si="3"/>
        <v>3.8753703530158168E-2</v>
      </c>
      <c r="J15" s="45">
        <v>1330054</v>
      </c>
      <c r="K15" s="45">
        <v>1335092</v>
      </c>
      <c r="L15" s="49">
        <f t="shared" si="2"/>
        <v>-3.7735227235277113E-3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4290626</v>
      </c>
      <c r="C16" s="56">
        <v>4220258</v>
      </c>
      <c r="D16" s="47">
        <f t="shared" si="1"/>
        <v>1.6673862119330085E-2</v>
      </c>
      <c r="F16" s="44">
        <v>3086351</v>
      </c>
      <c r="G16" s="44">
        <v>3048773</v>
      </c>
      <c r="H16" s="48">
        <f t="shared" si="3"/>
        <v>1.2325614271708751E-2</v>
      </c>
      <c r="J16" s="44">
        <v>1204275</v>
      </c>
      <c r="K16" s="44">
        <v>1171485</v>
      </c>
      <c r="L16" s="48">
        <f t="shared" si="2"/>
        <v>2.79901151103088E-2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4543696</v>
      </c>
      <c r="C17" s="54">
        <v>4586031</v>
      </c>
      <c r="D17" s="52">
        <f t="shared" si="1"/>
        <v>-9.2312939009788764E-3</v>
      </c>
      <c r="F17" s="45">
        <v>3208284</v>
      </c>
      <c r="G17" s="45">
        <v>3276305</v>
      </c>
      <c r="H17" s="49">
        <f t="shared" si="3"/>
        <v>-2.0761498090073993E-2</v>
      </c>
      <c r="J17" s="45">
        <v>1335412</v>
      </c>
      <c r="K17" s="45">
        <v>1309726</v>
      </c>
      <c r="L17" s="49">
        <f t="shared" si="2"/>
        <v>1.9611735584389445E-2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28</v>
      </c>
      <c r="B18" s="40">
        <f>SUM(B6:B17)</f>
        <v>54359433</v>
      </c>
      <c r="C18" s="40">
        <f>SUM(C6:C17)</f>
        <v>52133780</v>
      </c>
      <c r="D18" s="47">
        <f t="shared" si="1"/>
        <v>4.2691187939949859E-2</v>
      </c>
      <c r="F18" s="40">
        <f>SUM(F6:F17)</f>
        <v>38446283</v>
      </c>
      <c r="G18" s="40">
        <f>SUM(G6:G17)</f>
        <v>36378022</v>
      </c>
      <c r="H18" s="47">
        <f t="shared" si="3"/>
        <v>5.68546855021419E-2</v>
      </c>
      <c r="J18" s="40">
        <f>SUM(J6:J17)</f>
        <v>15913150</v>
      </c>
      <c r="K18" s="40">
        <f>SUM(K6:K17)</f>
        <v>15755758</v>
      </c>
      <c r="L18" s="47">
        <f t="shared" si="2"/>
        <v>9.989490826147529E-3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41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</row>
    <row r="23" spans="1:50" x14ac:dyDescent="0.25">
      <c r="D23" s="41"/>
      <c r="H23" s="41"/>
      <c r="L23" s="41"/>
    </row>
    <row r="28" spans="1:50" x14ac:dyDescent="0.25">
      <c r="F28" s="68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  <pageSetUpPr fitToPage="1"/>
  </sheetPr>
  <dimension ref="A1:AX23"/>
  <sheetViews>
    <sheetView zoomScaleNormal="100" zoomScaleSheetLayoutView="93" workbookViewId="0">
      <selection activeCell="K19" sqref="K19"/>
    </sheetView>
  </sheetViews>
  <sheetFormatPr baseColWidth="10" defaultColWidth="8.83203125" defaultRowHeight="19" x14ac:dyDescent="0.25"/>
  <cols>
    <col min="1" max="3" width="13.83203125" style="25" customWidth="1"/>
    <col min="4" max="4" width="13.83203125" style="34" customWidth="1"/>
    <col min="5" max="7" width="13.83203125" style="25" customWidth="1"/>
    <col min="8" max="8" width="13.83203125" style="34" customWidth="1"/>
    <col min="9" max="11" width="13.83203125" style="25" customWidth="1"/>
    <col min="12" max="12" width="13.83203125" style="34" customWidth="1"/>
    <col min="14" max="14" width="9.33203125" customWidth="1"/>
  </cols>
  <sheetData>
    <row r="1" spans="1:50" ht="35" customHeight="1" x14ac:dyDescent="0.2">
      <c r="A1" s="82" t="s">
        <v>22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50" ht="15" x14ac:dyDescent="0.2">
      <c r="A2"/>
      <c r="B2"/>
      <c r="C2"/>
      <c r="D2" s="36"/>
      <c r="E2"/>
      <c r="F2"/>
      <c r="G2"/>
      <c r="H2" s="36"/>
      <c r="I2"/>
      <c r="J2"/>
      <c r="K2"/>
      <c r="L2" s="36"/>
    </row>
    <row r="3" spans="1:50" s="36" customFormat="1" ht="34" customHeight="1" x14ac:dyDescent="0.2">
      <c r="A3" s="34"/>
      <c r="B3" s="84" t="s">
        <v>48</v>
      </c>
      <c r="C3" s="84"/>
      <c r="D3" s="84"/>
      <c r="E3" s="35"/>
      <c r="F3" s="83" t="s">
        <v>15</v>
      </c>
      <c r="G3" s="83"/>
      <c r="H3" s="83"/>
      <c r="I3" s="35"/>
      <c r="J3" s="83" t="s">
        <v>16</v>
      </c>
      <c r="K3" s="83"/>
      <c r="L3" s="83"/>
    </row>
    <row r="4" spans="1:50" s="33" customFormat="1" ht="40" x14ac:dyDescent="0.25">
      <c r="A4" s="21"/>
      <c r="B4" s="37">
        <v>2025</v>
      </c>
      <c r="C4" s="37">
        <v>2024</v>
      </c>
      <c r="D4" s="38" t="s">
        <v>49</v>
      </c>
      <c r="E4" s="21"/>
      <c r="F4" s="50">
        <v>2025</v>
      </c>
      <c r="G4" s="50">
        <v>2024</v>
      </c>
      <c r="H4" s="38" t="s">
        <v>49</v>
      </c>
      <c r="I4" s="51"/>
      <c r="J4" s="50">
        <v>2025</v>
      </c>
      <c r="K4" s="50">
        <v>2024</v>
      </c>
      <c r="L4" s="38" t="s">
        <v>49</v>
      </c>
    </row>
    <row r="5" spans="1:50" ht="25" customHeight="1" x14ac:dyDescent="0.25">
      <c r="A5" s="57"/>
      <c r="B5" s="57"/>
      <c r="C5" s="55"/>
      <c r="D5" s="55"/>
      <c r="F5" s="31"/>
      <c r="G5" s="31"/>
      <c r="H5" s="43"/>
      <c r="J5" s="31"/>
      <c r="K5" s="31"/>
      <c r="L5" s="43"/>
    </row>
    <row r="6" spans="1:50" ht="25" customHeight="1" x14ac:dyDescent="0.25">
      <c r="A6" s="58" t="s">
        <v>3</v>
      </c>
      <c r="B6" s="39">
        <v>771112</v>
      </c>
      <c r="C6" s="39">
        <v>852269</v>
      </c>
      <c r="D6" s="47">
        <f>B6/C6-1</f>
        <v>-9.5224629782380887E-2</v>
      </c>
      <c r="E6" s="28"/>
      <c r="F6" s="44">
        <v>723051</v>
      </c>
      <c r="G6" s="44">
        <v>789908</v>
      </c>
      <c r="H6" s="47">
        <f>F6/G6-1</f>
        <v>-8.4638970614299369E-2</v>
      </c>
      <c r="I6" s="28"/>
      <c r="J6" s="44">
        <f>21430+26631</f>
        <v>48061</v>
      </c>
      <c r="K6" s="44">
        <v>62361</v>
      </c>
      <c r="L6" s="47">
        <f>J6/K6-1</f>
        <v>-0.22930998540754643</v>
      </c>
    </row>
    <row r="7" spans="1:50" ht="25" customHeight="1" x14ac:dyDescent="0.25">
      <c r="A7" s="59" t="s">
        <v>4</v>
      </c>
      <c r="B7" s="54">
        <f>F7+J7</f>
        <v>746233</v>
      </c>
      <c r="C7" s="54">
        <v>820358</v>
      </c>
      <c r="D7" s="52">
        <f>B7/C7-1</f>
        <v>-9.0356892966241609E-2</v>
      </c>
      <c r="E7" s="28"/>
      <c r="F7" s="45">
        <f>343446+336051+14166+14166</f>
        <v>707829</v>
      </c>
      <c r="G7" s="45">
        <v>765325</v>
      </c>
      <c r="H7" s="49">
        <f>F7/G7-1</f>
        <v>-7.5126253552412425E-2</v>
      </c>
      <c r="I7" s="28"/>
      <c r="J7" s="45">
        <f>18433+19971</f>
        <v>38404</v>
      </c>
      <c r="K7" s="45">
        <v>55033</v>
      </c>
      <c r="L7" s="49">
        <f>J7/K7-1</f>
        <v>-0.30216415605182345</v>
      </c>
      <c r="N7" s="2"/>
      <c r="O7" s="2"/>
    </row>
    <row r="8" spans="1:50" ht="25" customHeight="1" x14ac:dyDescent="0.25">
      <c r="A8" s="58" t="s">
        <v>5</v>
      </c>
      <c r="B8" s="39">
        <v>880071</v>
      </c>
      <c r="C8" s="39">
        <v>930522</v>
      </c>
      <c r="D8" s="47">
        <f t="shared" ref="D8:D18" si="0">B8/C8-1</f>
        <v>-5.4217955083275871E-2</v>
      </c>
      <c r="E8" s="28"/>
      <c r="F8" s="44">
        <v>835298</v>
      </c>
      <c r="G8" s="44">
        <v>874463</v>
      </c>
      <c r="H8" s="48">
        <f t="shared" ref="H8:H18" si="1">F8/G8-1</f>
        <v>-4.4787486720421543E-2</v>
      </c>
      <c r="I8" s="28"/>
      <c r="J8" s="44">
        <v>44773</v>
      </c>
      <c r="K8" s="44">
        <v>56059</v>
      </c>
      <c r="L8" s="48">
        <f t="shared" ref="L8:L18" si="2">J8/K8-1</f>
        <v>-0.20132360548707606</v>
      </c>
      <c r="N8" s="2"/>
      <c r="O8" s="2"/>
    </row>
    <row r="9" spans="1:50" ht="25" customHeight="1" x14ac:dyDescent="0.25">
      <c r="A9" s="59" t="s">
        <v>6</v>
      </c>
      <c r="B9" s="54">
        <f>F9+J9</f>
        <v>891340</v>
      </c>
      <c r="C9" s="54">
        <v>966306</v>
      </c>
      <c r="D9" s="52">
        <f t="shared" si="0"/>
        <v>-7.7579979840754376E-2</v>
      </c>
      <c r="E9" s="28"/>
      <c r="F9" s="45">
        <f>402084+405500+17081+17081</f>
        <v>841746</v>
      </c>
      <c r="G9" s="45">
        <v>913771</v>
      </c>
      <c r="H9" s="49">
        <f t="shared" si="1"/>
        <v>-7.8821717914006939E-2</v>
      </c>
      <c r="I9" s="28"/>
      <c r="J9" s="45">
        <f>21495+28099</f>
        <v>49594</v>
      </c>
      <c r="K9" s="45">
        <v>52535</v>
      </c>
      <c r="L9" s="49">
        <f t="shared" si="2"/>
        <v>-5.5981726468068871E-2</v>
      </c>
      <c r="N9" s="2"/>
    </row>
    <row r="10" spans="1:50" ht="25" customHeight="1" x14ac:dyDescent="0.25">
      <c r="A10" s="58" t="s">
        <v>7</v>
      </c>
      <c r="B10" s="39">
        <f>F10+J10</f>
        <v>931307</v>
      </c>
      <c r="C10" s="39">
        <v>1029102</v>
      </c>
      <c r="D10" s="47">
        <f t="shared" si="0"/>
        <v>-9.5029452862787189E-2</v>
      </c>
      <c r="E10" s="28"/>
      <c r="F10" s="44">
        <f>423072+429026+15999+15999</f>
        <v>884096</v>
      </c>
      <c r="G10" s="44">
        <v>976688</v>
      </c>
      <c r="H10" s="48">
        <f t="shared" si="1"/>
        <v>-9.4802024802188578E-2</v>
      </c>
      <c r="I10" s="28"/>
      <c r="J10" s="44">
        <v>47211</v>
      </c>
      <c r="K10" s="44">
        <v>52414</v>
      </c>
      <c r="L10" s="48">
        <f t="shared" si="2"/>
        <v>-9.9267371313008002E-2</v>
      </c>
    </row>
    <row r="11" spans="1:50" ht="25" customHeight="1" x14ac:dyDescent="0.25">
      <c r="A11" s="59" t="s">
        <v>8</v>
      </c>
      <c r="B11" s="54">
        <v>995920</v>
      </c>
      <c r="C11" s="54">
        <v>1093129</v>
      </c>
      <c r="D11" s="52">
        <f t="shared" si="0"/>
        <v>-8.8927290374695045E-2</v>
      </c>
      <c r="E11" s="28"/>
      <c r="F11" s="45">
        <v>944299</v>
      </c>
      <c r="G11" s="45">
        <v>1037596</v>
      </c>
      <c r="H11" s="49">
        <f t="shared" si="1"/>
        <v>-8.9916499292595597E-2</v>
      </c>
      <c r="I11" s="28"/>
      <c r="J11" s="45">
        <v>51621</v>
      </c>
      <c r="K11" s="45">
        <v>55533</v>
      </c>
      <c r="L11" s="49">
        <f t="shared" si="2"/>
        <v>-7.044460050780621E-2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ht="25" customHeight="1" x14ac:dyDescent="0.25">
      <c r="A12" s="58" t="s">
        <v>9</v>
      </c>
      <c r="B12" s="39">
        <v>1007771</v>
      </c>
      <c r="C12" s="39">
        <v>1095311</v>
      </c>
      <c r="D12" s="47">
        <f t="shared" si="0"/>
        <v>-7.9922506027968354E-2</v>
      </c>
      <c r="E12" s="28"/>
      <c r="F12" s="44">
        <v>947930</v>
      </c>
      <c r="G12" s="44">
        <v>1034419</v>
      </c>
      <c r="H12" s="48">
        <f t="shared" si="1"/>
        <v>-8.3611186569465534E-2</v>
      </c>
      <c r="I12" s="28"/>
      <c r="J12" s="44">
        <v>59841</v>
      </c>
      <c r="K12" s="44">
        <v>60892</v>
      </c>
      <c r="L12" s="48">
        <f t="shared" si="2"/>
        <v>-1.7260067003875723E-2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ht="25" customHeight="1" x14ac:dyDescent="0.25">
      <c r="A13" s="59" t="s">
        <v>10</v>
      </c>
      <c r="B13" s="54">
        <f>F13+J13</f>
        <v>973995</v>
      </c>
      <c r="C13" s="54">
        <v>1066857</v>
      </c>
      <c r="D13" s="52">
        <f t="shared" si="0"/>
        <v>-8.7042593337251395E-2</v>
      </c>
      <c r="E13" s="28"/>
      <c r="F13" s="45">
        <f>435148+432048+30447+30447</f>
        <v>928090</v>
      </c>
      <c r="G13" s="45">
        <v>1016497</v>
      </c>
      <c r="H13" s="49">
        <f t="shared" si="1"/>
        <v>-8.6972219298236952E-2</v>
      </c>
      <c r="I13" s="28"/>
      <c r="J13" s="45">
        <f>19627+26278</f>
        <v>45905</v>
      </c>
      <c r="K13" s="45">
        <v>50360</v>
      </c>
      <c r="L13" s="49">
        <f t="shared" si="2"/>
        <v>-8.8463065925337592E-2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s="29" customFormat="1" ht="25" customHeight="1" x14ac:dyDescent="0.25">
      <c r="A14" s="58" t="s">
        <v>11</v>
      </c>
      <c r="B14" s="39">
        <f>F14+J14</f>
        <v>874618</v>
      </c>
      <c r="C14" s="39">
        <v>979541</v>
      </c>
      <c r="D14" s="47">
        <f t="shared" si="0"/>
        <v>-0.10711445462721825</v>
      </c>
      <c r="E14" s="28"/>
      <c r="F14" s="44">
        <f>396366+23876+403045+23876</f>
        <v>847163</v>
      </c>
      <c r="G14" s="44">
        <v>941324</v>
      </c>
      <c r="H14" s="48">
        <f>F14/G14-1</f>
        <v>-0.10003038273750586</v>
      </c>
      <c r="I14" s="46"/>
      <c r="J14" s="44">
        <f>13030+14425</f>
        <v>27455</v>
      </c>
      <c r="K14" s="44">
        <v>38217</v>
      </c>
      <c r="L14" s="48">
        <f>J14/K14-1</f>
        <v>-0.28160242823874193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ht="25" customHeight="1" x14ac:dyDescent="0.25">
      <c r="A15" s="59" t="s">
        <v>12</v>
      </c>
      <c r="B15" s="54">
        <f>F15+J15</f>
        <v>917828</v>
      </c>
      <c r="C15" s="54">
        <v>1043719</v>
      </c>
      <c r="D15" s="52">
        <f t="shared" si="0"/>
        <v>-0.12061771415486355</v>
      </c>
      <c r="F15" s="45">
        <f>416136+413926+25551+25551</f>
        <v>881164</v>
      </c>
      <c r="G15" s="45">
        <v>993026</v>
      </c>
      <c r="H15" s="49">
        <f t="shared" si="1"/>
        <v>-0.112647604393037</v>
      </c>
      <c r="J15" s="45">
        <f>18984+17680</f>
        <v>36664</v>
      </c>
      <c r="K15" s="45">
        <v>50693</v>
      </c>
      <c r="L15" s="49">
        <f t="shared" si="2"/>
        <v>-0.27674432367388002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ht="25" customHeight="1" x14ac:dyDescent="0.25">
      <c r="A16" s="58" t="s">
        <v>13</v>
      </c>
      <c r="B16" s="39">
        <v>830952</v>
      </c>
      <c r="C16" s="56">
        <v>954789</v>
      </c>
      <c r="D16" s="47">
        <f t="shared" si="0"/>
        <v>-0.12970090773982523</v>
      </c>
      <c r="F16" s="44">
        <v>792693</v>
      </c>
      <c r="G16" s="44">
        <v>907066</v>
      </c>
      <c r="H16" s="48">
        <f t="shared" si="1"/>
        <v>-0.12609115543962623</v>
      </c>
      <c r="J16" s="44">
        <v>38259</v>
      </c>
      <c r="K16" s="44">
        <v>47723</v>
      </c>
      <c r="L16" s="48">
        <f t="shared" si="2"/>
        <v>-0.19831108689730315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ht="25" customHeight="1" x14ac:dyDescent="0.25">
      <c r="A17" s="59" t="s">
        <v>14</v>
      </c>
      <c r="B17" s="54">
        <v>854020</v>
      </c>
      <c r="C17" s="54">
        <v>1019367</v>
      </c>
      <c r="D17" s="52">
        <f t="shared" si="0"/>
        <v>-0.16220556482601456</v>
      </c>
      <c r="F17" s="45">
        <v>798690</v>
      </c>
      <c r="G17" s="45">
        <v>962563</v>
      </c>
      <c r="H17" s="49">
        <f t="shared" si="1"/>
        <v>-0.17024651892915066</v>
      </c>
      <c r="J17" s="45">
        <v>55330</v>
      </c>
      <c r="K17" s="45">
        <v>56804</v>
      </c>
      <c r="L17" s="49">
        <f t="shared" si="2"/>
        <v>-2.5948876839659185E-2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ht="25" customHeight="1" x14ac:dyDescent="0.25">
      <c r="A18" s="26" t="s">
        <v>35</v>
      </c>
      <c r="B18" s="40">
        <f>SUM(B6:B17)</f>
        <v>10675167</v>
      </c>
      <c r="C18" s="40">
        <f>SUM(C6:C17)</f>
        <v>11851270</v>
      </c>
      <c r="D18" s="47">
        <f t="shared" si="0"/>
        <v>-9.9238562618183535E-2</v>
      </c>
      <c r="F18" s="40">
        <f>SUM(F6:F17)</f>
        <v>10132049</v>
      </c>
      <c r="G18" s="40">
        <f>SUM(G6:G17)</f>
        <v>11212646</v>
      </c>
      <c r="H18" s="47">
        <f t="shared" si="1"/>
        <v>-9.6373059490150625E-2</v>
      </c>
      <c r="J18" s="40">
        <f>SUM(J6:J17)</f>
        <v>543118</v>
      </c>
      <c r="K18" s="40">
        <f>SUM(K6:K17)</f>
        <v>638624</v>
      </c>
      <c r="L18" s="47">
        <f t="shared" si="2"/>
        <v>-0.14954965676203835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25" t="s">
        <v>53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25" t="s">
        <v>46</v>
      </c>
    </row>
    <row r="23" spans="1:50" x14ac:dyDescent="0.25">
      <c r="D23" s="41"/>
      <c r="H23" s="41"/>
      <c r="L23" s="41"/>
    </row>
  </sheetData>
  <mergeCells count="4">
    <mergeCell ref="A1:L1"/>
    <mergeCell ref="B3:D3"/>
    <mergeCell ref="F3:H3"/>
    <mergeCell ref="J3:L3"/>
  </mergeCells>
  <phoneticPr fontId="18" type="noConversion"/>
  <pageMargins left="0.7" right="0.7" top="0.75" bottom="0.75" header="0.3" footer="0.3"/>
  <pageSetup scale="5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4"/>
  <sheetViews>
    <sheetView workbookViewId="0">
      <selection activeCell="J16" sqref="J16"/>
    </sheetView>
  </sheetViews>
  <sheetFormatPr baseColWidth="10" defaultColWidth="8.83203125" defaultRowHeight="15" x14ac:dyDescent="0.2"/>
  <cols>
    <col min="1" max="1" width="4.6640625" style="20" customWidth="1"/>
    <col min="2" max="2" width="4.6640625" customWidth="1"/>
    <col min="3" max="3" width="11" customWidth="1"/>
    <col min="4" max="4" width="14.33203125" customWidth="1"/>
    <col min="5" max="5" width="14.6640625" customWidth="1"/>
    <col min="6" max="6" width="11.1640625" customWidth="1"/>
    <col min="7" max="7" width="14.6640625" customWidth="1"/>
    <col min="8" max="8" width="17.5" customWidth="1"/>
    <col min="9" max="9" width="17.83203125" customWidth="1"/>
    <col min="10" max="10" width="14.6640625" customWidth="1"/>
    <col min="11" max="11" width="10.33203125" customWidth="1"/>
    <col min="12" max="45" width="9.1640625" customWidth="1"/>
  </cols>
  <sheetData>
    <row r="1" spans="1:9" x14ac:dyDescent="0.2">
      <c r="B1" s="22"/>
      <c r="C1" s="23" t="s">
        <v>36</v>
      </c>
      <c r="D1" s="24"/>
      <c r="E1" s="24"/>
    </row>
    <row r="3" spans="1:9" ht="19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</row>
    <row r="4" spans="1:9" x14ac:dyDescent="0.2">
      <c r="C4" s="1"/>
      <c r="D4" s="1"/>
      <c r="E4" s="1"/>
      <c r="F4" s="1"/>
    </row>
    <row r="5" spans="1:9" ht="16" x14ac:dyDescent="0.2">
      <c r="A5" s="20">
        <v>1</v>
      </c>
      <c r="C5" s="19" t="s">
        <v>27</v>
      </c>
      <c r="D5" s="3"/>
      <c r="E5" s="1"/>
      <c r="F5" s="17" t="s">
        <v>31</v>
      </c>
      <c r="G5" s="13"/>
    </row>
    <row r="6" spans="1:9" x14ac:dyDescent="0.2">
      <c r="C6" s="5"/>
      <c r="D6" s="6"/>
      <c r="E6" s="1"/>
      <c r="F6" s="14"/>
      <c r="G6" s="15"/>
      <c r="H6" t="s">
        <v>33</v>
      </c>
    </row>
    <row r="7" spans="1:9" x14ac:dyDescent="0.2">
      <c r="C7" s="7"/>
      <c r="D7" s="8"/>
      <c r="E7" s="1"/>
      <c r="F7" s="15"/>
      <c r="G7" s="15"/>
    </row>
    <row r="8" spans="1:9" x14ac:dyDescent="0.2">
      <c r="C8" s="1"/>
      <c r="D8" s="1"/>
      <c r="E8" s="1"/>
    </row>
    <row r="9" spans="1:9" ht="16" x14ac:dyDescent="0.2">
      <c r="A9" s="20">
        <v>2</v>
      </c>
      <c r="C9" s="19" t="s">
        <v>26</v>
      </c>
      <c r="D9" s="3"/>
      <c r="E9" s="1"/>
      <c r="F9" s="1"/>
    </row>
    <row r="10" spans="1:9" ht="16" x14ac:dyDescent="0.2">
      <c r="C10" s="5"/>
      <c r="D10" s="6"/>
      <c r="E10" s="1"/>
      <c r="F10" s="17" t="s">
        <v>32</v>
      </c>
      <c r="G10" s="18"/>
    </row>
    <row r="11" spans="1:9" x14ac:dyDescent="0.2">
      <c r="C11" s="7"/>
      <c r="D11" s="8"/>
      <c r="E11" s="1"/>
      <c r="F11" s="16"/>
      <c r="G11" s="16"/>
      <c r="H11" t="s">
        <v>33</v>
      </c>
    </row>
    <row r="12" spans="1:9" x14ac:dyDescent="0.2">
      <c r="C12" s="1"/>
      <c r="D12" s="1"/>
      <c r="E12" s="1"/>
      <c r="F12" s="16"/>
      <c r="G12" s="16"/>
    </row>
    <row r="13" spans="1:9" ht="16" x14ac:dyDescent="0.2">
      <c r="A13" s="20">
        <v>3</v>
      </c>
      <c r="C13" s="19" t="s">
        <v>21</v>
      </c>
      <c r="D13" s="3"/>
      <c r="E13" s="1"/>
    </row>
    <row r="14" spans="1:9" x14ac:dyDescent="0.2">
      <c r="C14" s="5"/>
      <c r="D14" s="6"/>
      <c r="E14" s="1"/>
    </row>
    <row r="15" spans="1:9" x14ac:dyDescent="0.2">
      <c r="C15" s="7"/>
      <c r="D15" s="8"/>
      <c r="E15" s="1"/>
    </row>
    <row r="16" spans="1:9" x14ac:dyDescent="0.2">
      <c r="C16" s="1"/>
      <c r="D16" s="1"/>
      <c r="E16" s="1"/>
    </row>
    <row r="17" spans="1:6" ht="16" x14ac:dyDescent="0.2">
      <c r="A17" s="20">
        <v>4</v>
      </c>
      <c r="C17" s="19" t="s">
        <v>25</v>
      </c>
      <c r="D17" s="3"/>
      <c r="E17" s="1"/>
    </row>
    <row r="18" spans="1:6" x14ac:dyDescent="0.2">
      <c r="C18" s="5"/>
      <c r="D18" s="9"/>
      <c r="E18" s="1"/>
    </row>
    <row r="19" spans="1:6" x14ac:dyDescent="0.2">
      <c r="C19" s="7"/>
      <c r="D19" s="10"/>
      <c r="E19" s="1"/>
    </row>
    <row r="20" spans="1:6" x14ac:dyDescent="0.2">
      <c r="C20" s="1"/>
      <c r="D20" s="1"/>
      <c r="E20" s="1"/>
      <c r="F20" s="1"/>
    </row>
    <row r="21" spans="1:6" ht="16" x14ac:dyDescent="0.2">
      <c r="A21" s="20">
        <v>5</v>
      </c>
      <c r="C21" s="19" t="s">
        <v>20</v>
      </c>
      <c r="D21" s="3"/>
    </row>
    <row r="22" spans="1:6" x14ac:dyDescent="0.2">
      <c r="C22" s="5"/>
      <c r="D22" s="6"/>
    </row>
    <row r="23" spans="1:6" x14ac:dyDescent="0.2">
      <c r="C23" s="7"/>
      <c r="D23" s="8"/>
    </row>
    <row r="24" spans="1:6" x14ac:dyDescent="0.2">
      <c r="C24" s="1"/>
      <c r="D24" s="1"/>
      <c r="E24" s="1"/>
    </row>
    <row r="25" spans="1:6" ht="16" x14ac:dyDescent="0.2">
      <c r="A25" s="20">
        <v>6</v>
      </c>
      <c r="C25" s="19" t="s">
        <v>22</v>
      </c>
      <c r="D25" s="3"/>
      <c r="E25" s="4"/>
    </row>
    <row r="26" spans="1:6" x14ac:dyDescent="0.2">
      <c r="C26" s="5"/>
      <c r="D26" s="6"/>
      <c r="E26" s="1"/>
    </row>
    <row r="27" spans="1:6" x14ac:dyDescent="0.2">
      <c r="C27" s="7"/>
      <c r="D27" s="8"/>
      <c r="E27" s="1"/>
    </row>
    <row r="28" spans="1:6" x14ac:dyDescent="0.2">
      <c r="C28" s="1"/>
      <c r="D28" s="1"/>
      <c r="E28" s="1"/>
    </row>
    <row r="29" spans="1:6" ht="16" x14ac:dyDescent="0.2">
      <c r="A29" s="20">
        <v>7</v>
      </c>
      <c r="C29" s="17" t="s">
        <v>34</v>
      </c>
      <c r="D29" s="4"/>
      <c r="E29" s="1"/>
    </row>
    <row r="30" spans="1:6" x14ac:dyDescent="0.2">
      <c r="C30" s="5"/>
      <c r="D30" s="11"/>
      <c r="E30" s="1"/>
    </row>
    <row r="31" spans="1:6" x14ac:dyDescent="0.2">
      <c r="C31" s="7"/>
      <c r="D31" s="12"/>
      <c r="E31" s="1"/>
    </row>
    <row r="32" spans="1:6" x14ac:dyDescent="0.2">
      <c r="C32" s="1"/>
      <c r="D32" s="1"/>
      <c r="E32" s="1"/>
      <c r="F32" s="1"/>
    </row>
    <row r="33" spans="1:7" ht="16" x14ac:dyDescent="0.2">
      <c r="A33" s="20">
        <v>8</v>
      </c>
      <c r="C33" s="19" t="s">
        <v>19</v>
      </c>
      <c r="D33" s="3"/>
      <c r="E33" s="1"/>
      <c r="F33" s="1"/>
    </row>
    <row r="34" spans="1:7" x14ac:dyDescent="0.2">
      <c r="C34" s="5"/>
      <c r="D34" s="6"/>
      <c r="E34" s="1"/>
      <c r="F34" s="1"/>
    </row>
    <row r="35" spans="1:7" x14ac:dyDescent="0.2">
      <c r="C35" s="7"/>
      <c r="D35" s="8"/>
      <c r="E35" s="1"/>
      <c r="F35" s="1"/>
    </row>
    <row r="36" spans="1:7" x14ac:dyDescent="0.2">
      <c r="C36" s="1"/>
      <c r="D36" s="1"/>
      <c r="E36" s="1"/>
      <c r="F36" s="1"/>
    </row>
    <row r="37" spans="1:7" ht="16" x14ac:dyDescent="0.2">
      <c r="A37" s="20">
        <v>9</v>
      </c>
      <c r="C37" s="19" t="s">
        <v>17</v>
      </c>
      <c r="D37" s="3"/>
      <c r="F37" s="1"/>
    </row>
    <row r="38" spans="1:7" x14ac:dyDescent="0.2">
      <c r="C38" s="5"/>
      <c r="D38" s="6"/>
      <c r="F38" s="1"/>
    </row>
    <row r="39" spans="1:7" x14ac:dyDescent="0.2">
      <c r="C39" s="7"/>
      <c r="D39" s="8"/>
      <c r="F39" s="1"/>
    </row>
    <row r="40" spans="1:7" x14ac:dyDescent="0.2">
      <c r="C40" s="1"/>
      <c r="D40" s="1"/>
      <c r="E40" s="1"/>
      <c r="F40" s="1"/>
    </row>
    <row r="41" spans="1:7" ht="16" x14ac:dyDescent="0.2">
      <c r="A41" s="20">
        <v>10</v>
      </c>
      <c r="C41" s="19" t="s">
        <v>24</v>
      </c>
      <c r="D41" s="3"/>
      <c r="E41" s="1"/>
      <c r="F41" s="1"/>
    </row>
    <row r="42" spans="1:7" x14ac:dyDescent="0.2">
      <c r="C42" s="5"/>
      <c r="D42" s="6"/>
      <c r="E42" s="1"/>
      <c r="F42" s="1"/>
      <c r="G42" t="s">
        <v>29</v>
      </c>
    </row>
    <row r="43" spans="1:7" x14ac:dyDescent="0.2">
      <c r="C43" s="7"/>
      <c r="D43" s="8"/>
      <c r="E43" s="1"/>
      <c r="F43" s="1"/>
    </row>
    <row r="44" spans="1:7" x14ac:dyDescent="0.2">
      <c r="C44" s="1"/>
      <c r="D44" s="1"/>
      <c r="E44" s="1"/>
      <c r="F44" s="1"/>
    </row>
  </sheetData>
  <mergeCells count="1">
    <mergeCell ref="A3:I3"/>
  </mergeCells>
  <pageMargins left="0.7" right="0.7" top="0.75" bottom="0.75" header="0.3" footer="0.3"/>
  <pageSetup scale="8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CALIFORNIA</vt:lpstr>
      <vt:lpstr>Los Angeles</vt:lpstr>
      <vt:lpstr>Burbank</vt:lpstr>
      <vt:lpstr>Long Beach</vt:lpstr>
      <vt:lpstr>Oakland</vt:lpstr>
      <vt:lpstr>Ontario</vt:lpstr>
      <vt:lpstr>Orange County</vt:lpstr>
      <vt:lpstr>Sacramento</vt:lpstr>
      <vt:lpstr>San Diego</vt:lpstr>
      <vt:lpstr>San Francisco</vt:lpstr>
      <vt:lpstr>San Jose</vt:lpstr>
      <vt:lpstr>High Low stats</vt:lpstr>
      <vt:lpstr>Burbank!Print_Area</vt:lpstr>
      <vt:lpstr>CALIFORNIA!Print_Area</vt:lpstr>
      <vt:lpstr>'High Low stats'!Print_Area</vt:lpstr>
      <vt:lpstr>'Long Beach'!Print_Area</vt:lpstr>
      <vt:lpstr>'Los Angeles'!Print_Area</vt:lpstr>
      <vt:lpstr>Oakland!Print_Area</vt:lpstr>
      <vt:lpstr>Ontario!Print_Area</vt:lpstr>
      <vt:lpstr>'Orange County'!Print_Area</vt:lpstr>
      <vt:lpstr>Sacramento!Print_Area</vt:lpstr>
      <vt:lpstr>'San Francisco'!Print_Area</vt:lpstr>
      <vt:lpstr>'San Jose'!Print_Area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temp1</dc:creator>
  <cp:lastModifiedBy>Ani Chibukhchyan</cp:lastModifiedBy>
  <cp:lastPrinted>2019-08-08T15:34:37Z</cp:lastPrinted>
  <dcterms:created xsi:type="dcterms:W3CDTF">2008-12-18T23:04:54Z</dcterms:created>
  <dcterms:modified xsi:type="dcterms:W3CDTF">2026-02-04T19:29:00Z</dcterms:modified>
</cp:coreProperties>
</file>