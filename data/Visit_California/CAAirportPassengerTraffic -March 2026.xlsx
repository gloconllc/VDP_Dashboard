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Airport Traffic/2026/02 March 2026/"/>
    </mc:Choice>
  </mc:AlternateContent>
  <xr:revisionPtr revIDLastSave="588" documentId="13_ncr:1_{CA79B7A5-963F-2641-ABEA-D1C4C8BFBDBD}" xr6:coauthVersionLast="47" xr6:coauthVersionMax="47" xr10:uidLastSave="{8E33B633-5CF2-CA46-BF11-A66F47FA6796}"/>
  <bookViews>
    <workbookView xWindow="12220" yWindow="4580" windowWidth="27740" windowHeight="20860" tabRatio="913" xr2:uid="{00000000-000D-0000-FFFF-FFFF00000000}"/>
  </bookViews>
  <sheets>
    <sheet name="CALIFORNIA" sheetId="14" r:id="rId1"/>
    <sheet name="Los Angeles" sheetId="2" r:id="rId2"/>
    <sheet name="Burbank" sheetId="1" r:id="rId3"/>
    <sheet name="Long Beach" sheetId="3" r:id="rId4"/>
    <sheet name="Oakland" sheetId="4" r:id="rId5"/>
    <sheet name="Ontario" sheetId="5" r:id="rId6"/>
    <sheet name="Orange County" sheetId="10" r:id="rId7"/>
    <sheet name="Sacramento" sheetId="6" r:id="rId8"/>
    <sheet name="San Diego" sheetId="7" r:id="rId9"/>
    <sheet name="San Francisco" sheetId="9" r:id="rId10"/>
    <sheet name="San Jose" sheetId="8" r:id="rId11"/>
    <sheet name="High Low stats" sheetId="12" state="hidden" r:id="rId12"/>
  </sheets>
  <definedNames>
    <definedName name="_xlnm.Print_Area" localSheetId="2">Burbank!$A$1:$L$19</definedName>
    <definedName name="_xlnm.Print_Area" localSheetId="0">CALIFORNIA!$A$1:$M$31</definedName>
    <definedName name="_xlnm.Print_Area" localSheetId="11">'High Low stats'!$A$3:$I$46</definedName>
    <definedName name="_xlnm.Print_Area" localSheetId="3">'Long Beach'!$A$1:$L$19</definedName>
    <definedName name="_xlnm.Print_Area" localSheetId="1">'Los Angeles'!$A$1:$M$19</definedName>
    <definedName name="_xlnm.Print_Area" localSheetId="4">Oakland!$A$1:$L$19</definedName>
    <definedName name="_xlnm.Print_Area" localSheetId="5">Ontario!$A$1:$M$19</definedName>
    <definedName name="_xlnm.Print_Area" localSheetId="6">'Orange County'!$A$1:$M$19</definedName>
    <definedName name="_xlnm.Print_Area" localSheetId="7">Sacramento!$A$1:$M$19</definedName>
    <definedName name="_xlnm.Print_Area" localSheetId="9">'San Francisco'!$A$1:$M$19</definedName>
    <definedName name="_xlnm.Print_Area" localSheetId="10">'San Jose'!$A$1:$M$19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4" l="1"/>
  <c r="F8" i="4"/>
  <c r="J8" i="4"/>
  <c r="J8" i="14"/>
  <c r="F8" i="14"/>
  <c r="B8" i="9"/>
  <c r="B8" i="8"/>
  <c r="J8" i="8"/>
  <c r="F8" i="8"/>
  <c r="J8" i="6"/>
  <c r="F8" i="6"/>
  <c r="G7" i="6"/>
  <c r="F8" i="10"/>
  <c r="F8" i="5"/>
  <c r="J8" i="5"/>
  <c r="B7" i="14"/>
  <c r="F7" i="14"/>
  <c r="J7" i="14"/>
  <c r="J6" i="14"/>
  <c r="F6" i="14"/>
  <c r="B6" i="14"/>
  <c r="D6" i="6"/>
  <c r="G6" i="10"/>
  <c r="G7" i="10"/>
  <c r="F6" i="10"/>
  <c r="F7" i="10"/>
  <c r="L6" i="10"/>
  <c r="D6" i="10"/>
  <c r="L6" i="4"/>
  <c r="D6" i="4"/>
  <c r="H6" i="4"/>
  <c r="L6" i="5"/>
  <c r="D6" i="5"/>
  <c r="D7" i="5"/>
  <c r="D8" i="5"/>
  <c r="D9" i="5"/>
  <c r="D10" i="5"/>
  <c r="D11" i="5"/>
  <c r="D12" i="5"/>
  <c r="D13" i="5"/>
  <c r="D14" i="5"/>
  <c r="D15" i="5"/>
  <c r="D16" i="5"/>
  <c r="D17" i="5"/>
  <c r="H8" i="5"/>
  <c r="H11" i="5"/>
  <c r="H12" i="5"/>
  <c r="H16" i="5"/>
  <c r="H17" i="5"/>
  <c r="H6" i="5"/>
  <c r="L8" i="8"/>
  <c r="L10" i="8"/>
  <c r="L11" i="8"/>
  <c r="L12" i="8"/>
  <c r="L16" i="8"/>
  <c r="L17" i="8"/>
  <c r="H8" i="8"/>
  <c r="H11" i="8"/>
  <c r="H12" i="8"/>
  <c r="H16" i="8"/>
  <c r="H17" i="8"/>
  <c r="H6" i="8"/>
  <c r="D8" i="8"/>
  <c r="D11" i="8"/>
  <c r="D12" i="8"/>
  <c r="D16" i="8"/>
  <c r="D17" i="8"/>
  <c r="D6" i="8"/>
  <c r="D6" i="9"/>
  <c r="L7" i="9"/>
  <c r="L8" i="9"/>
  <c r="L9" i="9"/>
  <c r="L10" i="9"/>
  <c r="L11" i="9"/>
  <c r="L12" i="9"/>
  <c r="L13" i="9"/>
  <c r="L14" i="9"/>
  <c r="L15" i="9"/>
  <c r="L16" i="9"/>
  <c r="L17" i="9"/>
  <c r="L6" i="9"/>
  <c r="H7" i="9"/>
  <c r="H8" i="9"/>
  <c r="H9" i="9"/>
  <c r="H10" i="9"/>
  <c r="H11" i="9"/>
  <c r="H12" i="9"/>
  <c r="H13" i="9"/>
  <c r="H14" i="9"/>
  <c r="H15" i="9"/>
  <c r="H16" i="9"/>
  <c r="H17" i="9"/>
  <c r="H6" i="9"/>
  <c r="D8" i="9"/>
  <c r="D11" i="9"/>
  <c r="D12" i="9"/>
  <c r="D16" i="9"/>
  <c r="D17" i="9"/>
  <c r="L7" i="7"/>
  <c r="L8" i="7"/>
  <c r="L9" i="7"/>
  <c r="L10" i="7"/>
  <c r="L11" i="7"/>
  <c r="L12" i="7"/>
  <c r="L13" i="7"/>
  <c r="L14" i="7"/>
  <c r="L15" i="7"/>
  <c r="L16" i="7"/>
  <c r="L17" i="7"/>
  <c r="L6" i="7"/>
  <c r="H7" i="7"/>
  <c r="H8" i="7"/>
  <c r="H9" i="7"/>
  <c r="H10" i="7"/>
  <c r="H11" i="7"/>
  <c r="H12" i="7"/>
  <c r="H13" i="7"/>
  <c r="H14" i="7"/>
  <c r="H15" i="7"/>
  <c r="H16" i="7"/>
  <c r="H17" i="7"/>
  <c r="H6" i="7"/>
  <c r="D8" i="7"/>
  <c r="D9" i="7"/>
  <c r="D10" i="7"/>
  <c r="D11" i="7"/>
  <c r="D12" i="7"/>
  <c r="D13" i="7"/>
  <c r="D15" i="7"/>
  <c r="D16" i="7"/>
  <c r="D17" i="7"/>
  <c r="D6" i="7"/>
  <c r="L8" i="6"/>
  <c r="L11" i="6"/>
  <c r="L12" i="6"/>
  <c r="L13" i="6"/>
  <c r="L16" i="6"/>
  <c r="L17" i="6"/>
  <c r="L6" i="6"/>
  <c r="H8" i="6"/>
  <c r="H11" i="6"/>
  <c r="H12" i="6"/>
  <c r="H13" i="6"/>
  <c r="H16" i="6"/>
  <c r="H17" i="6"/>
  <c r="H6" i="6"/>
  <c r="D8" i="6"/>
  <c r="D11" i="6"/>
  <c r="D12" i="6"/>
  <c r="D13" i="6"/>
  <c r="D16" i="6"/>
  <c r="D17" i="6"/>
  <c r="H8" i="10"/>
  <c r="H16" i="10"/>
  <c r="H17" i="10"/>
  <c r="H6" i="10"/>
  <c r="L7" i="10"/>
  <c r="L8" i="10"/>
  <c r="L9" i="10"/>
  <c r="L10" i="10"/>
  <c r="L11" i="10"/>
  <c r="L12" i="10"/>
  <c r="L13" i="10"/>
  <c r="L14" i="10"/>
  <c r="L15" i="10"/>
  <c r="L16" i="10"/>
  <c r="L17" i="10"/>
  <c r="D7" i="10"/>
  <c r="D8" i="10"/>
  <c r="D9" i="10"/>
  <c r="D10" i="10"/>
  <c r="D11" i="10"/>
  <c r="D12" i="10"/>
  <c r="D13" i="10"/>
  <c r="D14" i="10"/>
  <c r="D15" i="10"/>
  <c r="D16" i="10"/>
  <c r="D17" i="10"/>
  <c r="L8" i="5"/>
  <c r="L11" i="5"/>
  <c r="L12" i="5"/>
  <c r="L16" i="5"/>
  <c r="L17" i="5"/>
  <c r="L8" i="4"/>
  <c r="L12" i="4"/>
  <c r="L16" i="4"/>
  <c r="L17" i="4"/>
  <c r="H12" i="4"/>
  <c r="H16" i="4"/>
  <c r="H17" i="4"/>
  <c r="D12" i="4"/>
  <c r="D13" i="4"/>
  <c r="D16" i="4"/>
  <c r="D17" i="4"/>
  <c r="H7" i="3"/>
  <c r="H8" i="3"/>
  <c r="H9" i="3"/>
  <c r="H10" i="3"/>
  <c r="H11" i="3"/>
  <c r="H12" i="3"/>
  <c r="H13" i="3"/>
  <c r="H14" i="3"/>
  <c r="H15" i="3"/>
  <c r="H16" i="3"/>
  <c r="H17" i="3"/>
  <c r="H6" i="3"/>
  <c r="D7" i="3"/>
  <c r="D8" i="3"/>
  <c r="D9" i="3"/>
  <c r="D10" i="3"/>
  <c r="D11" i="3"/>
  <c r="D12" i="3"/>
  <c r="D13" i="3"/>
  <c r="D14" i="3"/>
  <c r="D15" i="3"/>
  <c r="D16" i="3"/>
  <c r="D17" i="3"/>
  <c r="D6" i="3"/>
  <c r="D6" i="1"/>
  <c r="H6" i="1"/>
  <c r="H7" i="1"/>
  <c r="H8" i="1"/>
  <c r="H9" i="1"/>
  <c r="H10" i="1"/>
  <c r="H11" i="1"/>
  <c r="H12" i="1"/>
  <c r="H13" i="1"/>
  <c r="H14" i="1"/>
  <c r="H15" i="1"/>
  <c r="H16" i="1"/>
  <c r="H17" i="1"/>
  <c r="D7" i="1"/>
  <c r="D8" i="1"/>
  <c r="D9" i="1"/>
  <c r="D10" i="1"/>
  <c r="D11" i="1"/>
  <c r="D12" i="1"/>
  <c r="D13" i="1"/>
  <c r="D14" i="1"/>
  <c r="D15" i="1"/>
  <c r="D16" i="1"/>
  <c r="D17" i="1"/>
  <c r="L7" i="2"/>
  <c r="L8" i="2"/>
  <c r="L9" i="2"/>
  <c r="L10" i="2"/>
  <c r="L11" i="2"/>
  <c r="L12" i="2"/>
  <c r="L13" i="2"/>
  <c r="L14" i="2"/>
  <c r="L15" i="2"/>
  <c r="L16" i="2"/>
  <c r="L17" i="2"/>
  <c r="L6" i="2"/>
  <c r="H7" i="2"/>
  <c r="H8" i="2"/>
  <c r="H9" i="2"/>
  <c r="H10" i="2"/>
  <c r="H11" i="2"/>
  <c r="H12" i="2"/>
  <c r="H13" i="2"/>
  <c r="H14" i="2"/>
  <c r="H15" i="2"/>
  <c r="H16" i="2"/>
  <c r="H17" i="2"/>
  <c r="H6" i="2"/>
  <c r="D7" i="2"/>
  <c r="D11" i="2"/>
  <c r="D12" i="2"/>
  <c r="D13" i="2"/>
  <c r="D14" i="2"/>
  <c r="D15" i="2"/>
  <c r="D16" i="2"/>
  <c r="D17" i="2"/>
  <c r="D6" i="2"/>
  <c r="K16" i="14"/>
  <c r="L16" i="14" s="1"/>
  <c r="K17" i="14"/>
  <c r="L17" i="14" s="1"/>
  <c r="G16" i="14"/>
  <c r="H16" i="14" s="1"/>
  <c r="G17" i="14"/>
  <c r="H17" i="14" s="1"/>
  <c r="B8" i="14" l="1"/>
  <c r="C17" i="14"/>
  <c r="D17" i="14" s="1"/>
  <c r="C16" i="14"/>
  <c r="D16" i="14" s="1"/>
  <c r="C15" i="4"/>
  <c r="D15" i="4" s="1"/>
  <c r="K15" i="4"/>
  <c r="G15" i="4"/>
  <c r="K15" i="5"/>
  <c r="G15" i="10"/>
  <c r="H15" i="10" s="1"/>
  <c r="C15" i="9"/>
  <c r="D15" i="9" s="1"/>
  <c r="K15" i="6"/>
  <c r="L15" i="6" s="1"/>
  <c r="G15" i="6"/>
  <c r="H15" i="6" s="1"/>
  <c r="K15" i="8"/>
  <c r="L15" i="8" s="1"/>
  <c r="G15" i="8"/>
  <c r="H15" i="8" s="1"/>
  <c r="K14" i="8"/>
  <c r="L14" i="8" s="1"/>
  <c r="G14" i="8"/>
  <c r="H14" i="8" s="1"/>
  <c r="C14" i="9"/>
  <c r="D14" i="9" s="1"/>
  <c r="C14" i="7"/>
  <c r="D14" i="7" s="1"/>
  <c r="G14" i="6"/>
  <c r="H14" i="6" s="1"/>
  <c r="K14" i="6"/>
  <c r="L14" i="6" s="1"/>
  <c r="G14" i="4"/>
  <c r="K14" i="4"/>
  <c r="G14" i="10"/>
  <c r="H14" i="10" s="1"/>
  <c r="K14" i="5"/>
  <c r="C14" i="8" l="1"/>
  <c r="D14" i="8" s="1"/>
  <c r="C15" i="8"/>
  <c r="D15" i="8" s="1"/>
  <c r="C15" i="6"/>
  <c r="D15" i="6" s="1"/>
  <c r="C14" i="6"/>
  <c r="D14" i="6" s="1"/>
  <c r="G15" i="5"/>
  <c r="H15" i="5" s="1"/>
  <c r="L15" i="5"/>
  <c r="G14" i="5"/>
  <c r="H14" i="5" s="1"/>
  <c r="L14" i="5"/>
  <c r="K15" i="14"/>
  <c r="L15" i="14" s="1"/>
  <c r="L15" i="4"/>
  <c r="K14" i="14"/>
  <c r="L14" i="14" s="1"/>
  <c r="L14" i="4"/>
  <c r="G14" i="14"/>
  <c r="H14" i="14" s="1"/>
  <c r="H14" i="4"/>
  <c r="H15" i="4"/>
  <c r="C14" i="4"/>
  <c r="D14" i="4" s="1"/>
  <c r="G13" i="10"/>
  <c r="H13" i="10" s="1"/>
  <c r="G6" i="14"/>
  <c r="H6" i="14" s="1"/>
  <c r="G12" i="10"/>
  <c r="C13" i="9"/>
  <c r="D13" i="9" s="1"/>
  <c r="G13" i="8"/>
  <c r="H13" i="8" s="1"/>
  <c r="K13" i="8"/>
  <c r="L13" i="8" s="1"/>
  <c r="K13" i="4"/>
  <c r="K13" i="5"/>
  <c r="K12" i="14"/>
  <c r="L12" i="14" s="1"/>
  <c r="G15" i="14" l="1"/>
  <c r="H15" i="14" s="1"/>
  <c r="C13" i="8"/>
  <c r="D13" i="8" s="1"/>
  <c r="G12" i="14"/>
  <c r="H12" i="14" s="1"/>
  <c r="H12" i="10"/>
  <c r="G13" i="5"/>
  <c r="H13" i="5" s="1"/>
  <c r="L13" i="5"/>
  <c r="C14" i="14"/>
  <c r="D14" i="14" s="1"/>
  <c r="C15" i="14"/>
  <c r="D15" i="14" s="1"/>
  <c r="G13" i="4"/>
  <c r="H13" i="4" s="1"/>
  <c r="L13" i="4"/>
  <c r="K13" i="14"/>
  <c r="L13" i="14" s="1"/>
  <c r="G13" i="14"/>
  <c r="H13" i="14" s="1"/>
  <c r="G11" i="10"/>
  <c r="H11" i="10" s="1"/>
  <c r="K11" i="4"/>
  <c r="L11" i="4" s="1"/>
  <c r="G11" i="4"/>
  <c r="G10" i="8"/>
  <c r="H10" i="8" s="1"/>
  <c r="K10" i="4"/>
  <c r="G10" i="4"/>
  <c r="K8" i="14"/>
  <c r="L8" i="14" s="1"/>
  <c r="K9" i="8"/>
  <c r="L9" i="8" s="1"/>
  <c r="G9" i="8"/>
  <c r="H9" i="8" s="1"/>
  <c r="K10" i="6"/>
  <c r="L10" i="6" s="1"/>
  <c r="G10" i="6"/>
  <c r="H10" i="6" s="1"/>
  <c r="K9" i="6"/>
  <c r="L9" i="6" s="1"/>
  <c r="G9" i="6"/>
  <c r="K9" i="4"/>
  <c r="L9" i="4" s="1"/>
  <c r="G9" i="4"/>
  <c r="K10" i="5"/>
  <c r="L10" i="5" s="1"/>
  <c r="K9" i="5"/>
  <c r="L9" i="5" s="1"/>
  <c r="G9" i="10"/>
  <c r="H9" i="10" s="1"/>
  <c r="G10" i="10"/>
  <c r="H10" i="10" s="1"/>
  <c r="C10" i="9"/>
  <c r="D10" i="9" s="1"/>
  <c r="C9" i="9"/>
  <c r="D9" i="9" s="1"/>
  <c r="C10" i="2"/>
  <c r="D10" i="2" s="1"/>
  <c r="C9" i="2"/>
  <c r="D9" i="2" s="1"/>
  <c r="G8" i="4"/>
  <c r="H8" i="4" s="1"/>
  <c r="C8" i="2"/>
  <c r="D8" i="2" s="1"/>
  <c r="K7" i="8"/>
  <c r="L7" i="8" s="1"/>
  <c r="G7" i="8"/>
  <c r="H7" i="8" s="1"/>
  <c r="C7" i="9"/>
  <c r="D7" i="9" s="1"/>
  <c r="K7" i="6"/>
  <c r="L7" i="6" s="1"/>
  <c r="H7" i="6"/>
  <c r="K7" i="4"/>
  <c r="G7" i="4"/>
  <c r="H7" i="4" s="1"/>
  <c r="K7" i="5"/>
  <c r="L7" i="5" s="1"/>
  <c r="C7" i="7"/>
  <c r="K6" i="8"/>
  <c r="L6" i="8" s="1"/>
  <c r="K6" i="14" l="1"/>
  <c r="L6" i="14" s="1"/>
  <c r="C12" i="14"/>
  <c r="D12" i="14" s="1"/>
  <c r="C8" i="4"/>
  <c r="D8" i="4" s="1"/>
  <c r="C9" i="8"/>
  <c r="D9" i="8" s="1"/>
  <c r="C10" i="8"/>
  <c r="D10" i="8" s="1"/>
  <c r="C7" i="8"/>
  <c r="D7" i="8" s="1"/>
  <c r="D7" i="7"/>
  <c r="C9" i="6"/>
  <c r="D9" i="6" s="1"/>
  <c r="H9" i="6"/>
  <c r="C10" i="6"/>
  <c r="D10" i="6" s="1"/>
  <c r="C7" i="6"/>
  <c r="D7" i="6" s="1"/>
  <c r="G7" i="5"/>
  <c r="H7" i="5" s="1"/>
  <c r="G9" i="5"/>
  <c r="H9" i="5" s="1"/>
  <c r="G10" i="5"/>
  <c r="H10" i="5" s="1"/>
  <c r="K11" i="14"/>
  <c r="L11" i="14" s="1"/>
  <c r="K10" i="14"/>
  <c r="L10" i="14" s="1"/>
  <c r="L10" i="4"/>
  <c r="K7" i="14"/>
  <c r="L7" i="14" s="1"/>
  <c r="L7" i="4"/>
  <c r="C11" i="4"/>
  <c r="D11" i="4" s="1"/>
  <c r="H11" i="4"/>
  <c r="H9" i="4"/>
  <c r="H10" i="4"/>
  <c r="K9" i="14"/>
  <c r="L9" i="14" s="1"/>
  <c r="G11" i="14"/>
  <c r="H11" i="14" s="1"/>
  <c r="C10" i="4"/>
  <c r="D10" i="4" s="1"/>
  <c r="C9" i="4"/>
  <c r="D9" i="4" s="1"/>
  <c r="G8" i="14"/>
  <c r="H8" i="14" s="1"/>
  <c r="G7" i="14"/>
  <c r="H7" i="14" s="1"/>
  <c r="C13" i="14"/>
  <c r="D13" i="14" s="1"/>
  <c r="C7" i="4"/>
  <c r="D7" i="4" s="1"/>
  <c r="C6" i="14"/>
  <c r="D6" i="14" s="1"/>
  <c r="G9" i="14" l="1"/>
  <c r="H9" i="14" s="1"/>
  <c r="G10" i="14"/>
  <c r="H10" i="14" s="1"/>
  <c r="C7" i="14"/>
  <c r="D7" i="14" s="1"/>
  <c r="C8" i="14"/>
  <c r="D8" i="14" s="1"/>
  <c r="C11" i="14"/>
  <c r="D11" i="14" s="1"/>
  <c r="C9" i="14" l="1"/>
  <c r="D9" i="14" s="1"/>
  <c r="C10" i="14"/>
  <c r="D10" i="14" s="1"/>
  <c r="H7" i="10" l="1"/>
</calcChain>
</file>

<file path=xl/sharedStrings.xml><?xml version="1.0" encoding="utf-8"?>
<sst xmlns="http://schemas.openxmlformats.org/spreadsheetml/2006/main" count="237" uniqueCount="49">
  <si>
    <t>Long Beach -LGB</t>
  </si>
  <si>
    <t>Los Angeles - LAX</t>
  </si>
  <si>
    <t>San Francisco- SFO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</si>
  <si>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</si>
  <si>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</si>
  <si>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</si>
  <si>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</si>
  <si>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</si>
  <si>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</si>
  <si>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</si>
  <si>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</si>
  <si>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</si>
  <si>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</si>
  <si>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</si>
  <si>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</si>
  <si>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Domestic</t>
  </si>
  <si>
    <t>International</t>
  </si>
  <si>
    <t>Burbank- Bob Hope</t>
  </si>
  <si>
    <t>Oakland- OAK</t>
  </si>
  <si>
    <t>Ontario-ONT</t>
  </si>
  <si>
    <t>Sacramento-SMF</t>
  </si>
  <si>
    <t>San Diego-SAN</t>
  </si>
  <si>
    <t>San Jose-SJC</t>
  </si>
  <si>
    <t>Orange County Santa Ana/John Wayne- SNA</t>
  </si>
  <si>
    <t>Long Beach-LGB</t>
  </si>
  <si>
    <t>Oakland-OAK</t>
  </si>
  <si>
    <t>San Francisco-SFO</t>
  </si>
  <si>
    <t>Los Angeles-LAX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</si>
  <si>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</si>
  <si>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i/>
        <sz val="14"/>
        <color theme="9" tint="-0.249977111117893"/>
        <rFont val="Calibri"/>
        <family val="2"/>
        <scheme val="minor"/>
      </rPr>
      <t>Highest</t>
    </r>
    <r>
      <rPr>
        <b/>
        <i/>
        <sz val="14"/>
        <color theme="1"/>
        <rFont val="Calibri"/>
        <family val="2"/>
        <scheme val="minor"/>
      </rPr>
      <t xml:space="preserve"> and</t>
    </r>
    <r>
      <rPr>
        <b/>
        <i/>
        <sz val="14"/>
        <color theme="4" tint="-0.249977111117893"/>
        <rFont val="Calibri"/>
        <family val="2"/>
        <scheme val="minor"/>
      </rPr>
      <t xml:space="preserve"> lowest</t>
    </r>
    <r>
      <rPr>
        <b/>
        <i/>
        <sz val="14"/>
        <color theme="1"/>
        <rFont val="Calibri"/>
        <family val="2"/>
        <scheme val="minor"/>
      </rPr>
      <t xml:space="preserve"> travel months in ranking of busiest to slowest airports</t>
    </r>
  </si>
  <si>
    <t>Highest traveled month:</t>
  </si>
  <si>
    <t>Lowest traveled month:</t>
  </si>
  <si>
    <t>(out of 10 airports)</t>
  </si>
  <si>
    <t>Orange County- SNA</t>
  </si>
  <si>
    <t>DATA TO BE COMPILED AT A LATER DATE</t>
  </si>
  <si>
    <t>Source: Long Beach Airport</t>
  </si>
  <si>
    <t>Source: LAWA</t>
  </si>
  <si>
    <t>Source: John Wayne Airport</t>
  </si>
  <si>
    <t>Source: Oakland International Airport</t>
  </si>
  <si>
    <t>Source: San Francisco International Airport</t>
  </si>
  <si>
    <t>Source: Sacramento International Airport</t>
  </si>
  <si>
    <t>Source: San Diego International Airport</t>
  </si>
  <si>
    <t>Source: Bob Hope Airport</t>
  </si>
  <si>
    <t>Sources:  Individual airports</t>
  </si>
  <si>
    <t>Total</t>
  </si>
  <si>
    <t>YOY % change</t>
  </si>
  <si>
    <t xml:space="preserve">CALIFORNIA </t>
  </si>
  <si>
    <t>Source:  San Jose Mineta International Airport</t>
  </si>
  <si>
    <t>Source: Ontario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</si>
</sst>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20"/>
      <color theme="1"/>
      <name val="Verdan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C60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6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6" fillId="0" borderId="4" xfId="0" applyFont="1" applyBorder="1"/>
    <xf numFmtId="0" fontId="6" fillId="0" borderId="0" xfId="0" applyFont="1"/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37" fontId="5" fillId="4" borderId="1" xfId="0" applyNumberFormat="1" applyFont="1" applyFill="1" applyBorder="1" applyAlignment="1">
      <alignment horizontal="center"/>
    </xf>
    <xf numFmtId="3" fontId="0" fillId="3" borderId="3" xfId="0" applyNumberFormat="1" applyFill="1" applyBorder="1" applyAlignment="1">
      <alignment horizontal="center" wrapText="1"/>
    </xf>
    <xf numFmtId="3" fontId="0" fillId="4" borderId="3" xfId="0" applyNumberFormat="1" applyFill="1" applyBorder="1" applyAlignment="1">
      <alignment horizontal="center" wrapText="1"/>
    </xf>
    <xf numFmtId="0" fontId="4" fillId="0" borderId="0" xfId="0" applyFont="1"/>
    <xf numFmtId="16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10" fillId="0" borderId="0" xfId="0" applyFont="1"/>
    <xf numFmtId="0" fontId="11" fillId="0" borderId="0" xfId="0" applyFont="1"/>
    <xf numFmtId="0" fontId="10" fillId="0" borderId="4" xfId="0" applyFont="1" applyBorder="1"/>
    <xf numFmtId="0" fontId="1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3" fontId="15" fillId="0" borderId="0" xfId="0" applyNumberFormat="1" applyFont="1"/>
    <xf numFmtId="0" fontId="15" fillId="0" borderId="0" xfId="0" applyFont="1" applyAlignment="1">
      <alignment horizontal="center"/>
    </xf>
    <xf numFmtId="0" fontId="0" fillId="2" borderId="0" xfId="0" applyFill="1"/>
    <xf numFmtId="0" fontId="15" fillId="9" borderId="1" xfId="0" applyFont="1" applyFill="1" applyBorder="1" applyAlignment="1">
      <alignment horizontal="center"/>
    </xf>
    <xf numFmtId="164" fontId="15" fillId="0" borderId="1" xfId="2" applyNumberFormat="1" applyFont="1" applyBorder="1"/>
    <xf numFmtId="0" fontId="2" fillId="0" borderId="0" xfId="0" applyFon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4" fontId="15" fillId="0" borderId="1" xfId="2" applyNumberFormat="1" applyFont="1" applyBorder="1" applyAlignment="1">
      <alignment horizontal="center"/>
    </xf>
    <xf numFmtId="164" fontId="15" fillId="9" borderId="1" xfId="2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9" fontId="15" fillId="0" borderId="1" xfId="3" applyFont="1" applyBorder="1" applyAlignment="1">
      <alignment horizontal="center" vertical="center"/>
    </xf>
    <xf numFmtId="9" fontId="15" fillId="0" borderId="1" xfId="3" applyFont="1" applyBorder="1" applyAlignment="1">
      <alignment horizontal="center"/>
    </xf>
    <xf numFmtId="9" fontId="15" fillId="9" borderId="1" xfId="3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9" fontId="15" fillId="7" borderId="1" xfId="3" applyFont="1" applyFill="1" applyBorder="1" applyAlignment="1">
      <alignment horizontal="center" vertical="center"/>
    </xf>
    <xf numFmtId="164" fontId="15" fillId="7" borderId="1" xfId="2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3" fontId="15" fillId="0" borderId="1" xfId="2" applyNumberFormat="1" applyFont="1" applyBorder="1" applyAlignment="1">
      <alignment horizontal="center" vertical="center"/>
    </xf>
    <xf numFmtId="3" fontId="15" fillId="7" borderId="1" xfId="2" applyNumberFormat="1" applyFont="1" applyFill="1" applyBorder="1" applyAlignment="1">
      <alignment horizontal="center" vertical="center"/>
    </xf>
    <xf numFmtId="3" fontId="15" fillId="0" borderId="1" xfId="2" applyNumberFormat="1" applyFont="1" applyBorder="1" applyAlignment="1">
      <alignment horizontal="center"/>
    </xf>
    <xf numFmtId="3" fontId="15" fillId="9" borderId="1" xfId="2" applyNumberFormat="1" applyFont="1" applyFill="1" applyBorder="1" applyAlignment="1">
      <alignment horizontal="center"/>
    </xf>
    <xf numFmtId="164" fontId="15" fillId="0" borderId="0" xfId="0" applyNumberFormat="1" applyFont="1"/>
    <xf numFmtId="164" fontId="15" fillId="9" borderId="1" xfId="2" applyNumberFormat="1" applyFont="1" applyFill="1" applyBorder="1" applyAlignment="1">
      <alignment horizontal="right"/>
    </xf>
    <xf numFmtId="164" fontId="15" fillId="0" borderId="1" xfId="2" applyNumberFormat="1" applyFont="1" applyBorder="1" applyAlignment="1">
      <alignment horizontal="right"/>
    </xf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/>
    <xf numFmtId="164" fontId="15" fillId="10" borderId="1" xfId="2" applyNumberFormat="1" applyFont="1" applyFill="1" applyBorder="1" applyAlignment="1">
      <alignment horizontal="center"/>
    </xf>
    <xf numFmtId="164" fontId="15" fillId="10" borderId="1" xfId="2" applyNumberFormat="1" applyFont="1" applyFill="1" applyBorder="1"/>
    <xf numFmtId="43" fontId="15" fillId="0" borderId="0" xfId="0" applyNumberFormat="1" applyFont="1" applyAlignment="1">
      <alignment horizontal="center"/>
    </xf>
    <xf numFmtId="164" fontId="15" fillId="0" borderId="1" xfId="2" applyNumberFormat="1" applyFont="1" applyFill="1" applyBorder="1" applyAlignment="1">
      <alignment horizontal="center"/>
    </xf>
    <xf numFmtId="164" fontId="15" fillId="0" borderId="0" xfId="2" applyNumberFormat="1" applyFont="1" applyFill="1" applyBorder="1" applyAlignment="1">
      <alignment horizontal="center"/>
    </xf>
    <xf numFmtId="9" fontId="15" fillId="7" borderId="1" xfId="3" applyFont="1" applyFill="1" applyBorder="1" applyAlignment="1">
      <alignment horizontal="left" vertical="center"/>
    </xf>
    <xf numFmtId="9" fontId="3" fillId="0" borderId="1" xfId="3" applyFont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9" fontId="15" fillId="0" borderId="1" xfId="3" applyFont="1" applyFill="1" applyBorder="1" applyAlignment="1">
      <alignment horizontal="center"/>
    </xf>
    <xf numFmtId="164" fontId="15" fillId="0" borderId="1" xfId="2" applyNumberFormat="1" applyFont="1" applyBorder="1" applyAlignment="1">
      <alignment vertical="center"/>
    </xf>
    <xf numFmtId="164" fontId="15" fillId="7" borderId="1" xfId="2" applyNumberFormat="1" applyFont="1" applyFill="1" applyBorder="1" applyAlignment="1">
      <alignment vertical="center"/>
    </xf>
    <xf numFmtId="43" fontId="15" fillId="0" borderId="0" xfId="0" applyNumberFormat="1" applyFont="1"/>
    <xf numFmtId="0" fontId="20" fillId="8" borderId="0" xfId="0" applyFont="1" applyFill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9" fontId="15" fillId="0" borderId="0" xfId="3" applyFont="1"/>
    <xf numFmtId="9" fontId="15" fillId="0" borderId="1" xfId="3" applyNumberFormat="1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9" defaultPivotStyle="PivotStyleLight16"/>
  <colors>
    <mruColors>
      <color rgb="FFFDF4D3"/>
      <color rgb="FFFDEDA9"/>
      <color rgb="FFF7C60F"/>
      <color rgb="FFF7E131"/>
      <color rgb="FFFFFC00"/>
      <color rgb="FFFFCC66"/>
      <color rgb="FF397DCF"/>
      <color rgb="FFE6AF00"/>
      <color rgb="FFA7FBFF"/>
      <color rgb="FFFBA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AX22"/>
  <sheetViews>
    <sheetView tabSelected="1" zoomScaleNormal="100" zoomScaleSheetLayoutView="90" workbookViewId="0">
      <selection activeCell="F21" sqref="F21:F2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8" t="s">
        <v>46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54">
        <f>F6+J6</f>
        <v>15592857</v>
      </c>
      <c r="C6" s="54">
        <f>G6+K6</f>
        <v>15669572</v>
      </c>
      <c r="D6" s="43">
        <f t="shared" ref="D6:D17" si="0">B6/C6-1</f>
        <v>-4.8957942182467074E-3</v>
      </c>
      <c r="E6" s="27"/>
      <c r="F6" s="40">
        <f>'Los Angeles'!F6+Burbank!F6+'Long Beach'!F6+Ontario!F6+'Orange County'!F6+Oakland!F6+Sacramento!F6+'San Diego'!F6+'San Jose'!F6+'San Francisco'!F6</f>
        <v>12102596</v>
      </c>
      <c r="G6" s="40">
        <f>'Los Angeles'!G6+Burbank!G6+'Long Beach'!G6+Ontario!G6+'Orange County'!G6+Oakland!G6+Sacramento!G6+'San Diego'!G6+'San Jose'!G6+'San Francisco'!G6</f>
        <v>12189779</v>
      </c>
      <c r="H6" s="44">
        <f t="shared" ref="H6:H17" si="1">F6/G6-1</f>
        <v>-7.1521395096661999E-3</v>
      </c>
      <c r="I6" s="40"/>
      <c r="J6" s="40">
        <f>'Los Angeles'!J6+Ontario!J6+'Orange County'!J6+Oakland!J6+Sacramento!J6+'San Diego'!J6+'San Jose'!J6+'San Francisco'!J6</f>
        <v>3490261</v>
      </c>
      <c r="K6" s="40">
        <f>'Los Angeles'!K6+Ontario!K6+'Orange County'!K6+Oakland!K6+Sacramento!K6+'San Diego'!K6+'San Jose'!K6+'San Francisco'!K6</f>
        <v>3479793</v>
      </c>
      <c r="L6" s="44">
        <f>J6/K6-1</f>
        <v>3.0082249145280127E-3</v>
      </c>
    </row>
    <row r="7" spans="1:50" ht="25" customHeight="1" x14ac:dyDescent="0.25">
      <c r="A7" s="53" t="s">
        <v>4</v>
      </c>
      <c r="B7" s="55">
        <f>F7+J7</f>
        <v>14654681</v>
      </c>
      <c r="C7" s="55">
        <f>G7+K7</f>
        <v>14342466</v>
      </c>
      <c r="D7" s="48">
        <f t="shared" si="0"/>
        <v>2.1768571736547893E-2</v>
      </c>
      <c r="E7" s="65"/>
      <c r="F7" s="41">
        <f>'Los Angeles'!F7+Burbank!F7+'Long Beach'!F7+Ontario!F7+'Orange County'!F7+Oakland!F7+Sacramento!F7+'San Diego'!F7+'San Jose'!F7+'San Francisco'!F7</f>
        <v>11721609</v>
      </c>
      <c r="G7" s="41">
        <f>'Los Angeles'!G7+Burbank!G7+'Long Beach'!G7+Ontario!G7+'Orange County'!G7+Oakland!G7+Sacramento!G7+'San Diego'!G7+'San Jose'!G7+'San Francisco'!G7</f>
        <v>11475325</v>
      </c>
      <c r="H7" s="45">
        <f t="shared" si="1"/>
        <v>2.1462050094441798E-2</v>
      </c>
      <c r="I7" s="27"/>
      <c r="J7" s="41">
        <f>'Los Angeles'!J7+Ontario!J7+'Orange County'!J7+Oakland!J7+Sacramento!J7+'San Diego'!J7+'San Jose'!J7+'San Francisco'!J7</f>
        <v>2933072</v>
      </c>
      <c r="K7" s="41">
        <f>'Los Angeles'!K7+Ontario!K7+'Orange County'!K7+Oakland!K7+Sacramento!K7+'San Diego'!K7+'San Jose'!K7+'San Francisco'!K7</f>
        <v>2867141</v>
      </c>
      <c r="L7" s="45">
        <f t="shared" ref="L7:L17" si="2">J7/K7-1</f>
        <v>2.2995381113101843E-2</v>
      </c>
      <c r="N7" s="2"/>
      <c r="O7" s="2"/>
    </row>
    <row r="8" spans="1:50" ht="25" customHeight="1" x14ac:dyDescent="0.25">
      <c r="A8" s="52" t="s">
        <v>5</v>
      </c>
      <c r="B8" s="40">
        <f>F8+J8</f>
        <v>17723551</v>
      </c>
      <c r="C8" s="54">
        <f t="shared" ref="C8:C17" si="3">G8+K8</f>
        <v>17434379</v>
      </c>
      <c r="D8" s="85">
        <f t="shared" si="0"/>
        <v>1.6586309153884926E-2</v>
      </c>
      <c r="E8" s="27"/>
      <c r="F8" s="40">
        <f>'Los Angeles'!F8+Burbank!F8+'Long Beach'!F8+Ontario!F8+'Orange County'!F8+Oakland!F8+Sacramento!F8+'San Diego'!F8+'San Jose'!F8+'San Francisco'!F8</f>
        <v>14257484</v>
      </c>
      <c r="G8" s="40">
        <f>'Los Angeles'!G8+Burbank!G8+'Long Beach'!G8+Ontario!G8+'Orange County'!G8+Oakland!G8+Sacramento!G8+'San Diego'!G8+'San Jose'!G8+'San Francisco'!G8</f>
        <v>14013509</v>
      </c>
      <c r="H8" s="44">
        <f t="shared" si="1"/>
        <v>1.7409986321056392E-2</v>
      </c>
      <c r="I8" s="27"/>
      <c r="J8" s="40">
        <f>'Los Angeles'!J8+Ontario!J8+'Orange County'!J8+Oakland!J8+Sacramento!J8+'San Diego'!J8+'San Jose'!J8+'San Francisco'!J8</f>
        <v>3466067</v>
      </c>
      <c r="K8" s="40">
        <f>'Los Angeles'!K8+Ontario!K8+'Orange County'!K8+Oakland!K8+Sacramento!K8+'San Diego'!K8+'San Jose'!K8+'San Francisco'!K8</f>
        <v>3420870</v>
      </c>
      <c r="L8" s="44">
        <f t="shared" si="2"/>
        <v>1.3212136094034488E-2</v>
      </c>
      <c r="N8" s="2"/>
      <c r="O8" s="2"/>
    </row>
    <row r="9" spans="1:50" ht="25" customHeight="1" x14ac:dyDescent="0.25">
      <c r="A9" s="53" t="s">
        <v>6</v>
      </c>
      <c r="B9" s="53"/>
      <c r="C9" s="55">
        <f t="shared" si="3"/>
        <v>17734772</v>
      </c>
      <c r="D9" s="48">
        <f t="shared" si="0"/>
        <v>-1</v>
      </c>
      <c r="E9" s="27"/>
      <c r="F9" s="41"/>
      <c r="G9" s="41">
        <f>'Los Angeles'!G9+Burbank!G9+'Long Beach'!G9+Ontario!G9+'Orange County'!G9+Oakland!G9+Sacramento!G9+'San Diego'!G9+'San Jose'!G9+'San Francisco'!G9</f>
        <v>14172456</v>
      </c>
      <c r="H9" s="45">
        <f t="shared" si="1"/>
        <v>-1</v>
      </c>
      <c r="I9" s="27"/>
      <c r="J9" s="41"/>
      <c r="K9" s="41">
        <f>'Los Angeles'!K9+Ontario!K9+'Orange County'!K9+Oakland!K9+Sacramento!K9+'San Diego'!K9+'San Jose'!K9+'San Francisco'!K9</f>
        <v>3562316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52"/>
      <c r="C10" s="54">
        <f t="shared" si="3"/>
        <v>18994856</v>
      </c>
      <c r="D10" s="43">
        <f t="shared" si="0"/>
        <v>-1</v>
      </c>
      <c r="E10" s="65"/>
      <c r="F10" s="40"/>
      <c r="G10" s="40">
        <f>'Los Angeles'!G10+Burbank!G10+'Long Beach'!G10+Ontario!G10+'Orange County'!G10+Oakland!G10+Sacramento!G10+'San Diego'!G10+'San Jose'!G10+'San Francisco'!G10</f>
        <v>15299389</v>
      </c>
      <c r="H10" s="44">
        <f t="shared" si="1"/>
        <v>-1</v>
      </c>
      <c r="I10" s="27"/>
      <c r="J10" s="40"/>
      <c r="K10" s="40">
        <f>'Los Angeles'!K10+Ontario!K10+'Orange County'!K10+Oakland!K10+Sacramento!K10+'San Diego'!K10+'San Jose'!K10+'San Francisco'!K10</f>
        <v>3695467</v>
      </c>
      <c r="L10" s="44">
        <f t="shared" si="2"/>
        <v>-1</v>
      </c>
    </row>
    <row r="11" spans="1:50" ht="25" customHeight="1" x14ac:dyDescent="0.25">
      <c r="A11" s="53" t="s">
        <v>8</v>
      </c>
      <c r="B11" s="53"/>
      <c r="C11" s="55">
        <f t="shared" si="3"/>
        <v>19954080</v>
      </c>
      <c r="D11" s="48">
        <f t="shared" si="0"/>
        <v>-1</v>
      </c>
      <c r="E11" s="27"/>
      <c r="F11" s="41"/>
      <c r="G11" s="41">
        <f>'Los Angeles'!G11+Burbank!G11+'Long Beach'!G11+Ontario!G11+'Orange County'!G11+Oakland!G11+Sacramento!G11+'San Diego'!G11+'San Jose'!G11+'San Francisco'!G11</f>
        <v>15917371</v>
      </c>
      <c r="H11" s="45">
        <f t="shared" si="1"/>
        <v>-1</v>
      </c>
      <c r="I11" s="27"/>
      <c r="J11" s="41"/>
      <c r="K11" s="41">
        <f>'Los Angeles'!K11+Ontario!K11+'Orange County'!K11+Oakland!K11+Sacramento!K11+'San Diego'!K11+'San Jose'!K11+'San Francisco'!K11</f>
        <v>4036709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2"/>
      <c r="C12" s="54">
        <f t="shared" si="3"/>
        <v>20646984</v>
      </c>
      <c r="D12" s="43">
        <f t="shared" si="0"/>
        <v>-1</v>
      </c>
      <c r="E12" s="27"/>
      <c r="F12" s="40"/>
      <c r="G12" s="40">
        <f>'Los Angeles'!G12+Burbank!G12+'Long Beach'!G12+Ontario!G12+'Orange County'!G12+Oakland!G12+Sacramento!G12+'San Diego'!G12+'San Jose'!G12+'San Francisco'!G12</f>
        <v>16375685</v>
      </c>
      <c r="H12" s="44">
        <f t="shared" si="1"/>
        <v>-1</v>
      </c>
      <c r="I12" s="27"/>
      <c r="J12" s="40"/>
      <c r="K12" s="40">
        <f>'Los Angeles'!K12+Ontario!K12+'Orange County'!K12+Oakland!K12+Sacramento!K12+'San Diego'!K12+'San Jose'!K12+'San Francisco'!K12</f>
        <v>4271299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3"/>
      <c r="C13" s="55">
        <f t="shared" si="3"/>
        <v>19406379</v>
      </c>
      <c r="D13" s="48">
        <f t="shared" si="0"/>
        <v>-1</v>
      </c>
      <c r="E13" s="27"/>
      <c r="F13" s="41"/>
      <c r="G13" s="41">
        <f>'Los Angeles'!G13+Burbank!G13+'Long Beach'!G13+Ontario!G13+'Orange County'!G13+Oakland!G13+Sacramento!G13+'San Diego'!G13+'San Jose'!G13+'San Francisco'!G13</f>
        <v>15448385</v>
      </c>
      <c r="H13" s="45">
        <f t="shared" si="1"/>
        <v>-1</v>
      </c>
      <c r="I13" s="27"/>
      <c r="J13" s="41"/>
      <c r="K13" s="41">
        <f>'Los Angeles'!K13+Ontario!K13+'Orange County'!K13+Oakland!K13+Sacramento!K13+'San Diego'!K13+'San Jose'!K13+'San Francisco'!K13</f>
        <v>3957994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2"/>
      <c r="C14" s="54">
        <f t="shared" si="3"/>
        <v>17474756</v>
      </c>
      <c r="D14" s="43">
        <f t="shared" si="0"/>
        <v>-1</v>
      </c>
      <c r="E14" s="27"/>
      <c r="F14" s="54"/>
      <c r="G14" s="54">
        <f>'Los Angeles'!G14+Burbank!G14+'Long Beach'!G14+Ontario!G14+'Orange County'!G14+Oakland!G14+Sacramento!G14+'San Diego'!G14+'San Jose'!G14+'San Francisco'!G14</f>
        <v>14084860</v>
      </c>
      <c r="H14" s="43">
        <f t="shared" si="1"/>
        <v>-1</v>
      </c>
      <c r="I14" s="42"/>
      <c r="J14" s="54"/>
      <c r="K14" s="54">
        <f>'Los Angeles'!K14+Ontario!K14+'Orange County'!K14+Oakland!K14+Sacramento!K14+'San Diego'!K14+'San Jose'!K14+'San Francisco'!K14</f>
        <v>3389896</v>
      </c>
      <c r="L14" s="43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3"/>
      <c r="C15" s="55">
        <f t="shared" si="3"/>
        <v>18813147</v>
      </c>
      <c r="D15" s="48">
        <f t="shared" si="0"/>
        <v>-1</v>
      </c>
      <c r="F15" s="41"/>
      <c r="G15" s="41">
        <f>'Los Angeles'!G15+Burbank!G15+'Long Beach'!G15+Ontario!G15+'Orange County'!G15+Oakland!G15+Sacramento!G15+'San Diego'!G15+'San Jose'!G15+'San Francisco'!G15</f>
        <v>15259846</v>
      </c>
      <c r="H15" s="45">
        <f t="shared" si="1"/>
        <v>-1</v>
      </c>
      <c r="J15" s="41"/>
      <c r="K15" s="41">
        <f>'Los Angeles'!K15+Ontario!K15+'Orange County'!K15+Oakland!K15+Sacramento!K15+'San Diego'!K15+'San Jose'!K15+'San Francisco'!K15</f>
        <v>3553301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2"/>
      <c r="C16" s="54">
        <f t="shared" si="3"/>
        <v>17015175</v>
      </c>
      <c r="D16" s="43">
        <f t="shared" si="0"/>
        <v>-1</v>
      </c>
      <c r="F16" s="54"/>
      <c r="G16" s="54">
        <f>'Los Angeles'!G16+Burbank!G16+'Long Beach'!G16+Ontario!G16+'Orange County'!G16+Oakland!G16+Sacramento!G16+'San Diego'!G16+'San Jose'!G16+'San Francisco'!G16</f>
        <v>13737762</v>
      </c>
      <c r="H16" s="43">
        <f t="shared" si="1"/>
        <v>-1</v>
      </c>
      <c r="J16" s="54"/>
      <c r="K16" s="54">
        <f>'Los Angeles'!K16+Ontario!K16+'Orange County'!K16+Oakland!K16+Sacramento!K16+'San Diego'!K16+'San Jose'!K16+'San Francisco'!K16</f>
        <v>3277413</v>
      </c>
      <c r="L16" s="43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3"/>
      <c r="C17" s="55">
        <f t="shared" si="3"/>
        <v>18184377</v>
      </c>
      <c r="D17" s="48">
        <f t="shared" si="0"/>
        <v>-1</v>
      </c>
      <c r="F17" s="41"/>
      <c r="G17" s="41">
        <f>'Los Angeles'!G17+Burbank!G17+'Long Beach'!G17+Ontario!G17+'Orange County'!G17+Oakland!G17+Sacramento!G17+'San Diego'!G17+'San Jose'!G17+'San Francisco'!G17</f>
        <v>14480145</v>
      </c>
      <c r="H17" s="45">
        <f t="shared" si="1"/>
        <v>-1</v>
      </c>
      <c r="J17" s="41"/>
      <c r="K17" s="41">
        <f>'Los Angeles'!K17+Ontario!K17+'Orange County'!K17+Oakland!K17+Sacramento!K17+'San Diego'!K17+'San Jose'!K17+'San Francisco'!K17</f>
        <v>3704232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43</v>
      </c>
      <c r="H19" s="39"/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F21" s="77"/>
    </row>
    <row r="22" spans="1:50" x14ac:dyDescent="0.25">
      <c r="F22" s="84"/>
    </row>
  </sheetData>
  <mergeCells count="4">
    <mergeCell ref="A1:L1"/>
    <mergeCell ref="B3:D3"/>
    <mergeCell ref="F3:H3"/>
    <mergeCell ref="J3:L3"/>
  </mergeCells>
  <phoneticPr fontId="17" type="noConversion"/>
  <pageMargins left="0.25" right="0.25" top="0.75" bottom="0.75" header="0.3" footer="0.3"/>
  <pageSetup scale="71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AX21"/>
  <sheetViews>
    <sheetView zoomScaleNormal="100" zoomScaleSheetLayoutView="90" workbookViewId="0">
      <selection activeCell="D8" sqref="D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8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40">
        <v>5546409</v>
      </c>
      <c r="C6" s="40">
        <v>5503062</v>
      </c>
      <c r="D6" s="44">
        <f>B6/C6-1</f>
        <v>7.8768874492054497E-3</v>
      </c>
      <c r="E6" s="27"/>
      <c r="F6" s="37">
        <v>3634168</v>
      </c>
      <c r="G6" s="37">
        <v>3584089</v>
      </c>
      <c r="H6" s="44">
        <f>F6/G6-1</f>
        <v>1.3972588292310739E-2</v>
      </c>
      <c r="I6" s="27"/>
      <c r="J6" s="40">
        <v>1912241</v>
      </c>
      <c r="K6" s="40">
        <v>1918973</v>
      </c>
      <c r="L6" s="44">
        <f>J6/K6-1</f>
        <v>-3.5081264822381941E-3</v>
      </c>
    </row>
    <row r="7" spans="1:50" ht="25" customHeight="1" x14ac:dyDescent="0.25">
      <c r="A7" s="53" t="s">
        <v>4</v>
      </c>
      <c r="B7" s="49">
        <v>4956270</v>
      </c>
      <c r="C7" s="49">
        <v>4910372</v>
      </c>
      <c r="D7" s="48">
        <f t="shared" ref="D7:D17" si="0">B7/C7-1</f>
        <v>9.3471533317639466E-3</v>
      </c>
      <c r="E7" s="27"/>
      <c r="F7" s="41">
        <v>3357714</v>
      </c>
      <c r="G7" s="41">
        <v>3329110</v>
      </c>
      <c r="H7" s="45">
        <f t="shared" ref="H7:H17" si="1">F7/G7-1</f>
        <v>8.5920861731814124E-3</v>
      </c>
      <c r="I7" s="27"/>
      <c r="J7" s="41">
        <v>1598556</v>
      </c>
      <c r="K7" s="41">
        <v>1581262</v>
      </c>
      <c r="L7" s="45">
        <f t="shared" ref="L7:L17" si="2">J7/K7-1</f>
        <v>1.0936833997149176E-2</v>
      </c>
      <c r="N7" s="2"/>
      <c r="O7" s="2"/>
    </row>
    <row r="8" spans="1:50" ht="25" customHeight="1" x14ac:dyDescent="0.25">
      <c r="A8" s="52" t="s">
        <v>5</v>
      </c>
      <c r="B8" s="40">
        <v>6011798</v>
      </c>
      <c r="C8" s="40">
        <f>G8+K8</f>
        <v>6017600</v>
      </c>
      <c r="D8" s="44">
        <f t="shared" si="0"/>
        <v>-9.6417176282903583E-4</v>
      </c>
      <c r="E8" s="27"/>
      <c r="F8" s="37">
        <v>4151549</v>
      </c>
      <c r="G8" s="37">
        <v>4122303</v>
      </c>
      <c r="H8" s="43">
        <f t="shared" si="1"/>
        <v>7.0945779580007251E-3</v>
      </c>
      <c r="I8" s="27"/>
      <c r="J8" s="37">
        <v>1860249</v>
      </c>
      <c r="K8" s="37">
        <v>1895297</v>
      </c>
      <c r="L8" s="43">
        <f t="shared" si="2"/>
        <v>-1.8492088575036036E-2</v>
      </c>
      <c r="N8" s="2"/>
      <c r="O8" s="2"/>
    </row>
    <row r="9" spans="1:50" ht="25" customHeight="1" x14ac:dyDescent="0.25">
      <c r="A9" s="53" t="s">
        <v>6</v>
      </c>
      <c r="B9" s="49"/>
      <c r="C9" s="49">
        <f>G9+K9</f>
        <v>6062213</v>
      </c>
      <c r="D9" s="48">
        <f t="shared" si="0"/>
        <v>-1</v>
      </c>
      <c r="E9" s="27"/>
      <c r="F9" s="41"/>
      <c r="G9" s="41">
        <v>4093498</v>
      </c>
      <c r="H9" s="45">
        <f t="shared" si="1"/>
        <v>-1</v>
      </c>
      <c r="I9" s="27"/>
      <c r="J9" s="41"/>
      <c r="K9" s="41">
        <v>1968715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40"/>
      <c r="C10" s="40">
        <f>G10+K10</f>
        <v>6447305</v>
      </c>
      <c r="D10" s="44">
        <f t="shared" si="0"/>
        <v>-1</v>
      </c>
      <c r="E10" s="27"/>
      <c r="F10" s="40"/>
      <c r="G10" s="40">
        <v>4443330</v>
      </c>
      <c r="H10" s="44">
        <f t="shared" si="1"/>
        <v>-1</v>
      </c>
      <c r="I10" s="27"/>
      <c r="J10" s="40"/>
      <c r="K10" s="40">
        <v>2003975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6838239</v>
      </c>
      <c r="D11" s="48">
        <f t="shared" si="0"/>
        <v>-1</v>
      </c>
      <c r="E11" s="27"/>
      <c r="F11" s="41"/>
      <c r="G11" s="41">
        <v>4678753</v>
      </c>
      <c r="H11" s="45">
        <f t="shared" si="1"/>
        <v>-1</v>
      </c>
      <c r="I11" s="27"/>
      <c r="J11" s="41"/>
      <c r="K11" s="41">
        <v>2159486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40"/>
      <c r="C12" s="40">
        <v>6838239</v>
      </c>
      <c r="D12" s="44">
        <f t="shared" si="0"/>
        <v>-1</v>
      </c>
      <c r="E12" s="27"/>
      <c r="F12" s="40"/>
      <c r="G12" s="40">
        <v>4857993</v>
      </c>
      <c r="H12" s="44">
        <f t="shared" si="1"/>
        <v>-1</v>
      </c>
      <c r="I12" s="27"/>
      <c r="J12" s="40"/>
      <c r="K12" s="40">
        <v>2319944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6691917</v>
      </c>
      <c r="D13" s="48">
        <f t="shared" si="0"/>
        <v>-1</v>
      </c>
      <c r="E13" s="27"/>
      <c r="F13" s="41"/>
      <c r="G13" s="41">
        <v>4517782</v>
      </c>
      <c r="H13" s="45">
        <f t="shared" si="1"/>
        <v>-1</v>
      </c>
      <c r="I13" s="27"/>
      <c r="J13" s="41"/>
      <c r="K13" s="41">
        <v>2174135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v>5809235</v>
      </c>
      <c r="D14" s="43">
        <f t="shared" si="0"/>
        <v>-1</v>
      </c>
      <c r="E14" s="27"/>
      <c r="F14" s="40"/>
      <c r="G14" s="40">
        <v>3942661</v>
      </c>
      <c r="H14" s="44">
        <f t="shared" si="1"/>
        <v>-1</v>
      </c>
      <c r="I14" s="42"/>
      <c r="J14" s="40"/>
      <c r="K14" s="40">
        <v>1866574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6240234</v>
      </c>
      <c r="D15" s="48">
        <f t="shared" si="0"/>
        <v>-1</v>
      </c>
      <c r="F15" s="41"/>
      <c r="G15" s="41">
        <v>4316898</v>
      </c>
      <c r="H15" s="45">
        <f t="shared" si="1"/>
        <v>-1</v>
      </c>
      <c r="J15" s="41"/>
      <c r="K15" s="41">
        <v>1923336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5705628</v>
      </c>
      <c r="D16" s="43">
        <f t="shared" si="0"/>
        <v>-1</v>
      </c>
      <c r="F16" s="40"/>
      <c r="G16" s="40">
        <v>3925165</v>
      </c>
      <c r="H16" s="44">
        <f t="shared" si="1"/>
        <v>-1</v>
      </c>
      <c r="J16" s="40"/>
      <c r="K16" s="40">
        <v>1780463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6312331</v>
      </c>
      <c r="D17" s="48">
        <f t="shared" si="0"/>
        <v>-1</v>
      </c>
      <c r="F17" s="41"/>
      <c r="G17" s="41">
        <v>4287654</v>
      </c>
      <c r="H17" s="45">
        <f t="shared" si="1"/>
        <v>-1</v>
      </c>
      <c r="J17" s="41"/>
      <c r="K17" s="41">
        <v>2024677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36</v>
      </c>
      <c r="H19" s="39"/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</row>
  </sheetData>
  <mergeCells count="4">
    <mergeCell ref="A1:L1"/>
    <mergeCell ref="F3:H3"/>
    <mergeCell ref="B3:D3"/>
    <mergeCell ref="J3:L3"/>
  </mergeCells>
  <phoneticPr fontId="17" type="noConversion"/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AX21"/>
  <sheetViews>
    <sheetView zoomScaleNormal="100" zoomScaleSheetLayoutView="90" workbookViewId="0">
      <selection activeCell="F8" sqref="F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8" t="s">
        <v>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61"/>
      <c r="K5" s="61"/>
      <c r="L5" s="62"/>
    </row>
    <row r="6" spans="1:50" ht="25" customHeight="1" x14ac:dyDescent="0.25">
      <c r="A6" s="52" t="s">
        <v>3</v>
      </c>
      <c r="B6" s="37">
        <v>403020</v>
      </c>
      <c r="C6" s="37">
        <v>409153</v>
      </c>
      <c r="D6" s="43">
        <f t="shared" ref="D6:D17" si="0">B6/C6-1</f>
        <v>-1.4989502704367275E-2</v>
      </c>
      <c r="E6" s="27"/>
      <c r="F6" s="40">
        <v>403020</v>
      </c>
      <c r="G6" s="40">
        <v>409153</v>
      </c>
      <c r="H6" s="44">
        <f t="shared" ref="H6:H17" si="1">F6/G6-1</f>
        <v>-1.4989502704367275E-2</v>
      </c>
      <c r="I6" s="27"/>
      <c r="J6" s="40"/>
      <c r="K6" s="40"/>
      <c r="L6" s="40"/>
    </row>
    <row r="7" spans="1:50" ht="25" customHeight="1" x14ac:dyDescent="0.25">
      <c r="A7" s="53" t="s">
        <v>4</v>
      </c>
      <c r="B7" s="49">
        <v>397922</v>
      </c>
      <c r="C7" s="49">
        <v>425370</v>
      </c>
      <c r="D7" s="48">
        <f t="shared" si="0"/>
        <v>-6.4527352657686277E-2</v>
      </c>
      <c r="E7" s="27"/>
      <c r="F7" s="41">
        <v>397922</v>
      </c>
      <c r="G7" s="41">
        <v>425370</v>
      </c>
      <c r="H7" s="45">
        <f t="shared" si="1"/>
        <v>-6.4527352657686277E-2</v>
      </c>
      <c r="I7" s="27"/>
      <c r="J7" s="63"/>
      <c r="K7" s="63"/>
      <c r="L7" s="63"/>
      <c r="N7" s="2"/>
      <c r="O7" s="2"/>
    </row>
    <row r="8" spans="1:50" ht="25" customHeight="1" x14ac:dyDescent="0.25">
      <c r="A8" s="52" t="s">
        <v>5</v>
      </c>
      <c r="B8" s="37">
        <v>494320</v>
      </c>
      <c r="C8" s="40">
        <v>531078</v>
      </c>
      <c r="D8" s="44">
        <f t="shared" si="0"/>
        <v>-6.9213938442187373E-2</v>
      </c>
      <c r="E8" s="27"/>
      <c r="F8" s="40">
        <v>494320</v>
      </c>
      <c r="G8" s="40">
        <v>531078</v>
      </c>
      <c r="H8" s="44">
        <f t="shared" si="1"/>
        <v>-6.9213938442187373E-2</v>
      </c>
      <c r="I8" s="27"/>
      <c r="J8" s="40"/>
      <c r="K8" s="40"/>
      <c r="L8" s="40"/>
      <c r="N8" s="2"/>
      <c r="O8" s="2"/>
    </row>
    <row r="9" spans="1:50" ht="25" customHeight="1" x14ac:dyDescent="0.25">
      <c r="A9" s="53" t="s">
        <v>6</v>
      </c>
      <c r="B9" s="49"/>
      <c r="C9" s="49">
        <v>539544</v>
      </c>
      <c r="D9" s="48">
        <f t="shared" si="0"/>
        <v>-1</v>
      </c>
      <c r="E9" s="27"/>
      <c r="F9" s="41"/>
      <c r="G9" s="41">
        <v>539544</v>
      </c>
      <c r="H9" s="45">
        <f t="shared" si="1"/>
        <v>-1</v>
      </c>
      <c r="I9" s="27"/>
      <c r="J9" s="63"/>
      <c r="K9" s="63"/>
      <c r="L9" s="63"/>
      <c r="N9" s="2"/>
    </row>
    <row r="10" spans="1:50" ht="25" customHeight="1" x14ac:dyDescent="0.25">
      <c r="A10" s="52" t="s">
        <v>7</v>
      </c>
      <c r="B10" s="37"/>
      <c r="C10" s="40">
        <v>577338</v>
      </c>
      <c r="D10" s="44">
        <f t="shared" si="0"/>
        <v>-1</v>
      </c>
      <c r="E10" s="27"/>
      <c r="F10" s="40"/>
      <c r="G10" s="40">
        <v>577338</v>
      </c>
      <c r="H10" s="44">
        <f t="shared" si="1"/>
        <v>-1</v>
      </c>
      <c r="I10" s="27"/>
      <c r="J10" s="40"/>
      <c r="K10" s="40"/>
      <c r="L10" s="40"/>
    </row>
    <row r="11" spans="1:50" ht="24" customHeight="1" x14ac:dyDescent="0.25">
      <c r="A11" s="53" t="s">
        <v>8</v>
      </c>
      <c r="B11" s="49"/>
      <c r="C11" s="49">
        <v>557427</v>
      </c>
      <c r="D11" s="48">
        <f t="shared" si="0"/>
        <v>-1</v>
      </c>
      <c r="E11" s="27"/>
      <c r="F11" s="41"/>
      <c r="G11" s="41">
        <v>557427</v>
      </c>
      <c r="H11" s="45">
        <f t="shared" si="1"/>
        <v>-1</v>
      </c>
      <c r="I11" s="27"/>
      <c r="J11" s="63"/>
      <c r="K11" s="63"/>
      <c r="L11" s="6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40">
        <v>548964</v>
      </c>
      <c r="D12" s="44">
        <f t="shared" si="0"/>
        <v>-1</v>
      </c>
      <c r="E12" s="27"/>
      <c r="F12" s="40"/>
      <c r="G12" s="40">
        <v>548964</v>
      </c>
      <c r="H12" s="44">
        <f t="shared" si="1"/>
        <v>-1</v>
      </c>
      <c r="I12" s="27"/>
      <c r="J12" s="40"/>
      <c r="K12" s="40"/>
      <c r="L12" s="4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558913</v>
      </c>
      <c r="D13" s="48">
        <f t="shared" si="0"/>
        <v>-1</v>
      </c>
      <c r="E13" s="27"/>
      <c r="F13" s="41"/>
      <c r="G13" s="41">
        <v>558913</v>
      </c>
      <c r="H13" s="45">
        <f t="shared" si="1"/>
        <v>-1</v>
      </c>
      <c r="I13" s="27"/>
      <c r="J13" s="63"/>
      <c r="K13" s="63"/>
      <c r="L13" s="6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40">
        <v>523677</v>
      </c>
      <c r="D14" s="44">
        <f t="shared" si="0"/>
        <v>-1</v>
      </c>
      <c r="E14" s="27"/>
      <c r="F14" s="40"/>
      <c r="G14" s="40">
        <v>523677</v>
      </c>
      <c r="H14" s="44">
        <f t="shared" si="1"/>
        <v>-1</v>
      </c>
      <c r="I14" s="42"/>
      <c r="J14" s="40"/>
      <c r="K14" s="40"/>
      <c r="L14" s="4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549824</v>
      </c>
      <c r="D15" s="48">
        <f t="shared" si="0"/>
        <v>-1</v>
      </c>
      <c r="F15" s="41"/>
      <c r="G15" s="41">
        <v>549824</v>
      </c>
      <c r="H15" s="45">
        <f t="shared" si="1"/>
        <v>-1</v>
      </c>
      <c r="J15" s="63"/>
      <c r="K15" s="63"/>
      <c r="L15" s="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40">
        <v>492588</v>
      </c>
      <c r="D16" s="44">
        <f t="shared" si="0"/>
        <v>-1</v>
      </c>
      <c r="F16" s="40"/>
      <c r="G16" s="40">
        <v>492588</v>
      </c>
      <c r="H16" s="44">
        <f t="shared" si="1"/>
        <v>-1</v>
      </c>
      <c r="J16" s="40"/>
      <c r="K16" s="40"/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505603</v>
      </c>
      <c r="D17" s="48">
        <f t="shared" si="0"/>
        <v>-1</v>
      </c>
      <c r="F17" s="41"/>
      <c r="G17" s="41">
        <v>505603</v>
      </c>
      <c r="H17" s="45">
        <f t="shared" si="1"/>
        <v>-1</v>
      </c>
      <c r="J17" s="63"/>
      <c r="K17" s="63"/>
      <c r="L17" s="6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42</v>
      </c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AX21"/>
  <sheetViews>
    <sheetView zoomScaleNormal="100" zoomScaleSheetLayoutView="90" workbookViewId="0">
      <selection activeCell="B10" sqref="B10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82" t="s">
        <v>44</v>
      </c>
      <c r="C3" s="82"/>
      <c r="D3" s="82"/>
      <c r="E3" s="33"/>
      <c r="F3" s="80" t="s">
        <v>15</v>
      </c>
      <c r="G3" s="80"/>
      <c r="H3" s="80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2025</v>
      </c>
      <c r="K4" s="46">
        <v>2024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61"/>
      <c r="K5" s="61"/>
      <c r="L5" s="62"/>
    </row>
    <row r="6" spans="1:50" ht="25" customHeight="1" x14ac:dyDescent="0.25">
      <c r="A6" s="52" t="s">
        <v>3</v>
      </c>
      <c r="B6" s="40">
        <v>265707</v>
      </c>
      <c r="C6" s="40">
        <v>269452</v>
      </c>
      <c r="D6" s="43">
        <f t="shared" ref="D6:D17" si="0">B6/C6-1</f>
        <v>-1.3898579338806116E-2</v>
      </c>
      <c r="E6" s="27"/>
      <c r="F6" s="40">
        <v>265707</v>
      </c>
      <c r="G6" s="40">
        <v>269452</v>
      </c>
      <c r="H6" s="44">
        <f>F6/G6-1</f>
        <v>-1.3898579338806116E-2</v>
      </c>
      <c r="I6" s="27"/>
      <c r="J6" s="40"/>
      <c r="K6" s="40"/>
      <c r="L6" s="40"/>
    </row>
    <row r="7" spans="1:50" ht="25" customHeight="1" x14ac:dyDescent="0.25">
      <c r="A7" s="53" t="s">
        <v>4</v>
      </c>
      <c r="B7" s="49">
        <v>254955</v>
      </c>
      <c r="C7" s="49">
        <v>263160</v>
      </c>
      <c r="D7" s="48">
        <f t="shared" si="0"/>
        <v>-3.1178750569995417E-2</v>
      </c>
      <c r="E7" s="27"/>
      <c r="F7" s="41">
        <v>254955</v>
      </c>
      <c r="G7" s="41">
        <v>263160</v>
      </c>
      <c r="H7" s="45">
        <f t="shared" ref="H7:H17" si="1">F7/G7-1</f>
        <v>-3.1178750569995417E-2</v>
      </c>
      <c r="I7" s="27"/>
      <c r="J7" s="63"/>
      <c r="K7" s="63"/>
      <c r="L7" s="63"/>
      <c r="N7" s="2"/>
      <c r="O7" s="2"/>
    </row>
    <row r="8" spans="1:50" ht="25" customHeight="1" x14ac:dyDescent="0.25">
      <c r="A8" s="52" t="s">
        <v>5</v>
      </c>
      <c r="B8" s="37">
        <v>289010</v>
      </c>
      <c r="C8" s="37">
        <v>332783</v>
      </c>
      <c r="D8" s="43">
        <f t="shared" si="0"/>
        <v>-0.13153616621041342</v>
      </c>
      <c r="E8" s="27"/>
      <c r="F8" s="40">
        <v>289010</v>
      </c>
      <c r="G8" s="40">
        <v>332783</v>
      </c>
      <c r="H8" s="44">
        <f t="shared" si="1"/>
        <v>-0.13153616621041342</v>
      </c>
      <c r="I8" s="27"/>
      <c r="J8" s="40"/>
      <c r="K8" s="40"/>
      <c r="L8" s="40"/>
      <c r="N8" s="2"/>
      <c r="O8" s="2"/>
    </row>
    <row r="9" spans="1:50" ht="25" customHeight="1" x14ac:dyDescent="0.25">
      <c r="A9" s="53" t="s">
        <v>6</v>
      </c>
      <c r="B9" s="49"/>
      <c r="C9" s="49">
        <v>317072</v>
      </c>
      <c r="D9" s="48">
        <f t="shared" si="0"/>
        <v>-1</v>
      </c>
      <c r="E9" s="27"/>
      <c r="F9" s="41"/>
      <c r="G9" s="41">
        <v>317072</v>
      </c>
      <c r="H9" s="45">
        <f t="shared" si="1"/>
        <v>-1</v>
      </c>
      <c r="I9" s="27"/>
      <c r="J9" s="63"/>
      <c r="K9" s="63"/>
      <c r="L9" s="63"/>
      <c r="N9" s="2"/>
    </row>
    <row r="10" spans="1:50" ht="25" customHeight="1" x14ac:dyDescent="0.25">
      <c r="A10" s="52" t="s">
        <v>7</v>
      </c>
      <c r="B10" s="37"/>
      <c r="C10" s="37">
        <v>331577</v>
      </c>
      <c r="D10" s="43">
        <f t="shared" si="0"/>
        <v>-1</v>
      </c>
      <c r="E10" s="27"/>
      <c r="F10" s="40"/>
      <c r="G10" s="40">
        <v>331577</v>
      </c>
      <c r="H10" s="44">
        <f t="shared" si="1"/>
        <v>-1</v>
      </c>
      <c r="I10" s="27"/>
      <c r="J10" s="40"/>
      <c r="K10" s="40"/>
      <c r="L10" s="40"/>
    </row>
    <row r="11" spans="1:50" ht="25" customHeight="1" x14ac:dyDescent="0.25">
      <c r="A11" s="53" t="s">
        <v>8</v>
      </c>
      <c r="B11" s="49"/>
      <c r="C11" s="49">
        <v>338846</v>
      </c>
      <c r="D11" s="48">
        <f t="shared" si="0"/>
        <v>-1</v>
      </c>
      <c r="E11" s="27"/>
      <c r="F11" s="41"/>
      <c r="G11" s="41">
        <v>338846</v>
      </c>
      <c r="H11" s="45">
        <f t="shared" si="1"/>
        <v>-1</v>
      </c>
      <c r="I11" s="27"/>
      <c r="J11" s="63"/>
      <c r="K11" s="63"/>
      <c r="L11" s="6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40"/>
      <c r="C12" s="40">
        <v>340085</v>
      </c>
      <c r="D12" s="43">
        <f t="shared" si="0"/>
        <v>-1</v>
      </c>
      <c r="E12" s="27"/>
      <c r="F12" s="40"/>
      <c r="G12" s="40">
        <v>340085</v>
      </c>
      <c r="H12" s="44">
        <f t="shared" si="1"/>
        <v>-1</v>
      </c>
      <c r="I12" s="27"/>
      <c r="J12" s="40"/>
      <c r="K12" s="40"/>
      <c r="L12" s="4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318109</v>
      </c>
      <c r="D13" s="48">
        <f t="shared" si="0"/>
        <v>-1</v>
      </c>
      <c r="E13" s="27"/>
      <c r="F13" s="41"/>
      <c r="G13" s="41">
        <v>318109</v>
      </c>
      <c r="H13" s="45">
        <f t="shared" si="1"/>
        <v>-1</v>
      </c>
      <c r="I13" s="27"/>
      <c r="J13" s="63"/>
      <c r="K13" s="63"/>
      <c r="L13" s="6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40"/>
      <c r="C14" s="40">
        <v>314742</v>
      </c>
      <c r="D14" s="43">
        <f t="shared" si="0"/>
        <v>-1</v>
      </c>
      <c r="E14" s="27"/>
      <c r="F14" s="40"/>
      <c r="G14" s="40">
        <v>314742</v>
      </c>
      <c r="H14" s="44">
        <f t="shared" si="1"/>
        <v>-1</v>
      </c>
      <c r="I14" s="42"/>
      <c r="J14" s="40"/>
      <c r="K14" s="40"/>
      <c r="L14" s="4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340474</v>
      </c>
      <c r="D15" s="48">
        <f t="shared" si="0"/>
        <v>-1</v>
      </c>
      <c r="F15" s="41"/>
      <c r="G15" s="41">
        <v>340474</v>
      </c>
      <c r="H15" s="45">
        <f t="shared" si="1"/>
        <v>-1</v>
      </c>
      <c r="J15" s="63"/>
      <c r="K15" s="63"/>
      <c r="L15" s="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40"/>
      <c r="C16" s="40">
        <v>314422</v>
      </c>
      <c r="D16" s="43">
        <f t="shared" si="0"/>
        <v>-1</v>
      </c>
      <c r="F16" s="40"/>
      <c r="G16" s="40">
        <v>314422</v>
      </c>
      <c r="H16" s="44">
        <f t="shared" si="1"/>
        <v>-1</v>
      </c>
      <c r="J16" s="40"/>
      <c r="K16" s="40"/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333092</v>
      </c>
      <c r="D17" s="48">
        <f t="shared" si="0"/>
        <v>-1</v>
      </c>
      <c r="F17" s="41"/>
      <c r="G17" s="41">
        <v>333092</v>
      </c>
      <c r="H17" s="45">
        <f t="shared" si="1"/>
        <v>-1</v>
      </c>
      <c r="J17" s="63"/>
      <c r="K17" s="63"/>
      <c r="L17" s="6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35</v>
      </c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</row>
  </sheetData>
  <mergeCells count="4">
    <mergeCell ref="A1:L1"/>
    <mergeCell ref="J3:L3"/>
    <mergeCell ref="B3:D3"/>
    <mergeCell ref="F3:H3"/>
  </mergeCells>
  <phoneticPr fontId="17" type="noConversion"/>
  <pageMargins left="0.7" right="0.7" top="0.75" bottom="0.75" header="0.3" footer="0.3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AX21"/>
  <sheetViews>
    <sheetView zoomScaleNormal="100" zoomScaleSheetLayoutView="10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18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70" t="s">
        <v>45</v>
      </c>
      <c r="E4" s="21"/>
      <c r="F4" s="46">
        <v>2026</v>
      </c>
      <c r="G4" s="46">
        <v>2025</v>
      </c>
      <c r="H4" s="69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7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72">
        <v>610834</v>
      </c>
      <c r="C6" s="72">
        <v>680732</v>
      </c>
      <c r="D6" s="73">
        <f>B6/C6-1</f>
        <v>-0.10268064377758057</v>
      </c>
      <c r="E6" s="27"/>
      <c r="F6" s="56">
        <v>530758</v>
      </c>
      <c r="G6" s="56">
        <v>607727</v>
      </c>
      <c r="H6" s="44">
        <f>F6/G6-1</f>
        <v>-0.1266506177938449</v>
      </c>
      <c r="I6" s="27"/>
      <c r="J6" s="56">
        <v>80076</v>
      </c>
      <c r="K6" s="56">
        <v>73005</v>
      </c>
      <c r="L6" s="44">
        <f>J6/K6-1</f>
        <v>9.6856379700020589E-2</v>
      </c>
    </row>
    <row r="7" spans="1:50" ht="25" customHeight="1" x14ac:dyDescent="0.25">
      <c r="A7" s="53" t="s">
        <v>4</v>
      </c>
      <c r="B7" s="55">
        <v>595876</v>
      </c>
      <c r="C7" s="55">
        <f>G7+K7</f>
        <v>668485</v>
      </c>
      <c r="D7" s="48">
        <f t="shared" ref="D7:D17" si="0">B7/C7-1</f>
        <v>-0.10861724646027959</v>
      </c>
      <c r="E7" s="27"/>
      <c r="F7" s="57">
        <v>533713</v>
      </c>
      <c r="G7" s="57">
        <f>303280+300870</f>
        <v>604150</v>
      </c>
      <c r="H7" s="45">
        <f t="shared" ref="H7:H17" si="1">F7/G7-1</f>
        <v>-0.11658859554746337</v>
      </c>
      <c r="I7" s="27"/>
      <c r="J7" s="57">
        <v>62163</v>
      </c>
      <c r="K7" s="57">
        <f>33473+30862</f>
        <v>64335</v>
      </c>
      <c r="L7" s="45">
        <f t="shared" ref="L7:L17" si="2">J7/K7-1</f>
        <v>-3.3760783399393812E-2</v>
      </c>
      <c r="N7" s="2"/>
      <c r="O7" s="2"/>
    </row>
    <row r="8" spans="1:50" ht="25" customHeight="1" x14ac:dyDescent="0.25">
      <c r="A8" s="52" t="s">
        <v>5</v>
      </c>
      <c r="B8" s="54">
        <f>F8+J8</f>
        <v>662365</v>
      </c>
      <c r="C8" s="54">
        <f>G8+K8</f>
        <v>784564</v>
      </c>
      <c r="D8" s="43">
        <f t="shared" si="0"/>
        <v>-0.15575402389097637</v>
      </c>
      <c r="E8" s="27"/>
      <c r="F8" s="56">
        <f>300917+298958</f>
        <v>599875</v>
      </c>
      <c r="G8" s="56">
        <f>362130+360287</f>
        <v>722417</v>
      </c>
      <c r="H8" s="44">
        <f t="shared" si="1"/>
        <v>-0.16962779115109416</v>
      </c>
      <c r="I8" s="27"/>
      <c r="J8" s="56">
        <f>29749+32741</f>
        <v>62490</v>
      </c>
      <c r="K8" s="56">
        <v>62147</v>
      </c>
      <c r="L8" s="44">
        <f t="shared" si="2"/>
        <v>5.519172285066043E-3</v>
      </c>
      <c r="N8" s="2"/>
      <c r="O8" s="2"/>
    </row>
    <row r="9" spans="1:50" ht="25" customHeight="1" x14ac:dyDescent="0.25">
      <c r="A9" s="53" t="s">
        <v>6</v>
      </c>
      <c r="B9" s="55"/>
      <c r="C9" s="55">
        <f>G9+K9</f>
        <v>790765</v>
      </c>
      <c r="D9" s="48">
        <f t="shared" si="0"/>
        <v>-1</v>
      </c>
      <c r="E9" s="27"/>
      <c r="F9" s="57"/>
      <c r="G9" s="57">
        <f>361686+364343</f>
        <v>726029</v>
      </c>
      <c r="H9" s="45">
        <f t="shared" si="1"/>
        <v>-1</v>
      </c>
      <c r="I9" s="27"/>
      <c r="J9" s="57"/>
      <c r="K9" s="57">
        <f>30035+34701</f>
        <v>64736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54"/>
      <c r="C10" s="54">
        <f>G10+K10</f>
        <v>833705</v>
      </c>
      <c r="D10" s="43">
        <f t="shared" si="0"/>
        <v>-1</v>
      </c>
      <c r="E10" s="27"/>
      <c r="F10" s="56"/>
      <c r="G10" s="56">
        <f>387577+388424</f>
        <v>776001</v>
      </c>
      <c r="H10" s="44">
        <f t="shared" si="1"/>
        <v>-1</v>
      </c>
      <c r="I10" s="27"/>
      <c r="J10" s="56"/>
      <c r="K10" s="56">
        <f>26964+30740</f>
        <v>57704</v>
      </c>
      <c r="L10" s="44">
        <f t="shared" si="2"/>
        <v>-1</v>
      </c>
    </row>
    <row r="11" spans="1:50" ht="25" customHeight="1" x14ac:dyDescent="0.25">
      <c r="A11" s="53" t="s">
        <v>8</v>
      </c>
      <c r="B11" s="55"/>
      <c r="C11" s="55">
        <f>G11+K11</f>
        <v>810585</v>
      </c>
      <c r="D11" s="48">
        <f t="shared" si="0"/>
        <v>-1</v>
      </c>
      <c r="E11" s="27"/>
      <c r="F11" s="57"/>
      <c r="G11" s="57">
        <f>378904+369326</f>
        <v>748230</v>
      </c>
      <c r="H11" s="45">
        <f t="shared" si="1"/>
        <v>-1</v>
      </c>
      <c r="I11" s="27"/>
      <c r="J11" s="57"/>
      <c r="K11" s="57">
        <f>34057+28298</f>
        <v>62355</v>
      </c>
      <c r="L11" s="45">
        <f>J11/K11-1</f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6"/>
      <c r="C12" s="56">
        <v>823115</v>
      </c>
      <c r="D12" s="44">
        <f t="shared" si="0"/>
        <v>-1</v>
      </c>
      <c r="F12" s="54"/>
      <c r="G12" s="54">
        <v>755759</v>
      </c>
      <c r="H12" s="43">
        <f t="shared" si="1"/>
        <v>-1</v>
      </c>
      <c r="J12" s="54"/>
      <c r="K12" s="56">
        <v>67356</v>
      </c>
      <c r="L12" s="43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5"/>
      <c r="C13" s="55">
        <v>810584</v>
      </c>
      <c r="D13" s="48">
        <f t="shared" si="0"/>
        <v>-1</v>
      </c>
      <c r="E13" s="27"/>
      <c r="F13" s="57"/>
      <c r="G13" s="57">
        <f>C13-K13</f>
        <v>746568</v>
      </c>
      <c r="H13" s="45">
        <f t="shared" si="1"/>
        <v>-1</v>
      </c>
      <c r="I13" s="27"/>
      <c r="J13" s="57"/>
      <c r="K13" s="57">
        <f>28699+35317</f>
        <v>64016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4"/>
      <c r="C14" s="54">
        <f>G14+K14</f>
        <v>751935</v>
      </c>
      <c r="D14" s="43">
        <f t="shared" si="0"/>
        <v>-1</v>
      </c>
      <c r="E14" s="27"/>
      <c r="F14" s="54"/>
      <c r="G14" s="54">
        <f>343053+348248</f>
        <v>691301</v>
      </c>
      <c r="H14" s="43">
        <f t="shared" si="1"/>
        <v>-1</v>
      </c>
      <c r="I14" s="42"/>
      <c r="J14" s="54"/>
      <c r="K14" s="56">
        <f>28463+32171</f>
        <v>60634</v>
      </c>
      <c r="L14" s="43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5"/>
      <c r="C15" s="55">
        <f>768402</f>
        <v>768402</v>
      </c>
      <c r="D15" s="48">
        <f t="shared" si="0"/>
        <v>-1</v>
      </c>
      <c r="F15" s="59"/>
      <c r="G15" s="59">
        <f>352354+353087</f>
        <v>705441</v>
      </c>
      <c r="H15" s="45">
        <f t="shared" si="1"/>
        <v>-1</v>
      </c>
      <c r="J15" s="59"/>
      <c r="K15" s="57">
        <f>32883+30078</f>
        <v>62961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4"/>
      <c r="C16" s="54">
        <v>704344</v>
      </c>
      <c r="D16" s="43">
        <f t="shared" si="0"/>
        <v>-1</v>
      </c>
      <c r="F16" s="60"/>
      <c r="G16" s="60">
        <v>634707</v>
      </c>
      <c r="H16" s="44">
        <f t="shared" si="1"/>
        <v>-1</v>
      </c>
      <c r="J16" s="60"/>
      <c r="K16" s="56">
        <v>69637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5"/>
      <c r="C17" s="55">
        <v>740588</v>
      </c>
      <c r="D17" s="48">
        <f t="shared" si="0"/>
        <v>-1</v>
      </c>
      <c r="F17" s="41"/>
      <c r="G17" s="41">
        <v>657649</v>
      </c>
      <c r="H17" s="45">
        <f t="shared" si="1"/>
        <v>-1</v>
      </c>
      <c r="J17" s="41"/>
      <c r="K17" s="57">
        <v>82939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AX21"/>
  <sheetViews>
    <sheetView zoomScaleNormal="100" zoomScaleSheetLayoutView="10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5" width="13.83203125" style="32" customWidth="1"/>
    <col min="6" max="7" width="13.83203125" style="25" customWidth="1"/>
    <col min="8" max="9" width="13.83203125" style="32" customWidth="1"/>
    <col min="10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19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x14ac:dyDescent="0.25">
      <c r="A2"/>
      <c r="B2"/>
      <c r="C2"/>
      <c r="D2" s="34"/>
      <c r="E2" s="25"/>
      <c r="F2"/>
      <c r="G2"/>
      <c r="H2" s="34"/>
      <c r="I2" s="25"/>
      <c r="J2"/>
      <c r="K2"/>
      <c r="L2" s="34"/>
    </row>
    <row r="3" spans="1:50" s="34" customFormat="1" ht="34" customHeight="1" x14ac:dyDescent="0.25">
      <c r="A3" s="32"/>
      <c r="B3" s="79" t="s">
        <v>44</v>
      </c>
      <c r="C3" s="79"/>
      <c r="D3" s="79"/>
      <c r="E3" s="25"/>
      <c r="F3" s="80" t="s">
        <v>15</v>
      </c>
      <c r="G3" s="80"/>
      <c r="H3" s="80"/>
      <c r="I3" s="25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5"/>
      <c r="F4" s="46">
        <v>2026</v>
      </c>
      <c r="G4" s="46">
        <v>2025</v>
      </c>
      <c r="H4" s="36" t="s">
        <v>45</v>
      </c>
      <c r="I4" s="25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0"/>
      <c r="D5" s="48"/>
      <c r="E5" s="25"/>
      <c r="F5" s="29"/>
      <c r="G5" s="29"/>
      <c r="H5" s="45"/>
      <c r="I5" s="25"/>
      <c r="J5" s="29"/>
      <c r="K5" s="29"/>
      <c r="L5" s="45"/>
    </row>
    <row r="6" spans="1:50" ht="25" customHeight="1" x14ac:dyDescent="0.25">
      <c r="A6" s="52" t="s">
        <v>3</v>
      </c>
      <c r="B6" s="37">
        <v>492895</v>
      </c>
      <c r="C6" s="37">
        <v>475239</v>
      </c>
      <c r="D6" s="43">
        <f>B6/C6-1</f>
        <v>3.7151833077672558E-2</v>
      </c>
      <c r="E6" s="25"/>
      <c r="F6" s="40">
        <v>441949</v>
      </c>
      <c r="G6" s="40">
        <v>438999</v>
      </c>
      <c r="H6" s="44">
        <f>F6/G6-1</f>
        <v>6.7198330747906265E-3</v>
      </c>
      <c r="I6" s="25"/>
      <c r="J6" s="40">
        <v>50946</v>
      </c>
      <c r="K6" s="40">
        <v>36240</v>
      </c>
      <c r="L6" s="44">
        <f>J6/K6-1</f>
        <v>0.40579470198675494</v>
      </c>
    </row>
    <row r="7" spans="1:50" ht="25" customHeight="1" x14ac:dyDescent="0.25">
      <c r="A7" s="53" t="s">
        <v>4</v>
      </c>
      <c r="B7" s="49">
        <v>478625</v>
      </c>
      <c r="C7" s="49">
        <v>450093</v>
      </c>
      <c r="D7" s="48">
        <f t="shared" ref="D7:D17" si="0">B7/C7-1</f>
        <v>6.3391343566773894E-2</v>
      </c>
      <c r="E7" s="25"/>
      <c r="F7" s="41">
        <v>435690</v>
      </c>
      <c r="G7" s="41">
        <f>C7-K7</f>
        <v>417881</v>
      </c>
      <c r="H7" s="45">
        <f t="shared" ref="H7:H17" si="1">F7/G7-1</f>
        <v>4.2617395861501262E-2</v>
      </c>
      <c r="J7" s="41">
        <v>42935</v>
      </c>
      <c r="K7" s="41">
        <f>16148+16064</f>
        <v>32212</v>
      </c>
      <c r="L7" s="45">
        <f>J7/K7-1</f>
        <v>0.33288836458462678</v>
      </c>
      <c r="N7" s="2"/>
      <c r="O7" s="2"/>
    </row>
    <row r="8" spans="1:50" ht="25" customHeight="1" x14ac:dyDescent="0.25">
      <c r="A8" s="52" t="s">
        <v>5</v>
      </c>
      <c r="B8" s="37">
        <v>574819</v>
      </c>
      <c r="C8" s="37">
        <v>559619</v>
      </c>
      <c r="D8" s="43">
        <f t="shared" si="0"/>
        <v>2.7161336552189885E-2</v>
      </c>
      <c r="E8" s="25"/>
      <c r="F8" s="40">
        <f>B8-J8</f>
        <v>528661</v>
      </c>
      <c r="G8" s="40">
        <v>524594</v>
      </c>
      <c r="H8" s="44">
        <f t="shared" si="1"/>
        <v>7.7526620586587658E-3</v>
      </c>
      <c r="I8" s="25"/>
      <c r="J8" s="40">
        <f>19920+26238</f>
        <v>46158</v>
      </c>
      <c r="K8" s="40">
        <v>35025</v>
      </c>
      <c r="L8" s="44">
        <f t="shared" ref="L8:L17" si="2">J8/K8-1</f>
        <v>0.31785867237687371</v>
      </c>
      <c r="N8" s="2"/>
      <c r="O8" s="2"/>
    </row>
    <row r="9" spans="1:50" ht="25" customHeight="1" x14ac:dyDescent="0.25">
      <c r="A9" s="53" t="s">
        <v>6</v>
      </c>
      <c r="B9" s="49"/>
      <c r="C9" s="49">
        <v>575623</v>
      </c>
      <c r="D9" s="48">
        <f t="shared" si="0"/>
        <v>-1</v>
      </c>
      <c r="E9" s="25"/>
      <c r="F9" s="41"/>
      <c r="G9" s="41">
        <f>C9-K9</f>
        <v>542542</v>
      </c>
      <c r="H9" s="45">
        <f t="shared" si="1"/>
        <v>-1</v>
      </c>
      <c r="I9" s="25"/>
      <c r="J9" s="41"/>
      <c r="K9" s="41">
        <f>15546+17535</f>
        <v>33081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37"/>
      <c r="C10" s="37">
        <v>630137</v>
      </c>
      <c r="D10" s="43">
        <f t="shared" si="0"/>
        <v>-1</v>
      </c>
      <c r="E10" s="25"/>
      <c r="F10" s="40"/>
      <c r="G10" s="40">
        <f>C10-K10</f>
        <v>595141</v>
      </c>
      <c r="H10" s="44">
        <f t="shared" si="1"/>
        <v>-1</v>
      </c>
      <c r="I10" s="25"/>
      <c r="J10" s="40"/>
      <c r="K10" s="40">
        <f>16967+18029</f>
        <v>34996</v>
      </c>
      <c r="L10" s="44">
        <f>J10/K10-1</f>
        <v>-1</v>
      </c>
    </row>
    <row r="11" spans="1:50" ht="25" customHeight="1" x14ac:dyDescent="0.25">
      <c r="A11" s="53" t="s">
        <v>8</v>
      </c>
      <c r="B11" s="49"/>
      <c r="C11" s="49">
        <v>659787</v>
      </c>
      <c r="D11" s="48">
        <f t="shared" si="0"/>
        <v>-1</v>
      </c>
      <c r="E11" s="25"/>
      <c r="F11" s="41"/>
      <c r="G11" s="41">
        <v>625139</v>
      </c>
      <c r="H11" s="45">
        <f t="shared" si="1"/>
        <v>-1</v>
      </c>
      <c r="I11" s="25"/>
      <c r="J11" s="41"/>
      <c r="K11" s="41">
        <v>34648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681912</v>
      </c>
      <c r="D12" s="43">
        <f t="shared" si="0"/>
        <v>-1</v>
      </c>
      <c r="E12" s="25"/>
      <c r="F12" s="40"/>
      <c r="G12" s="40">
        <v>638693</v>
      </c>
      <c r="H12" s="44">
        <f t="shared" si="1"/>
        <v>-1</v>
      </c>
      <c r="I12" s="25"/>
      <c r="J12" s="40"/>
      <c r="K12" s="40">
        <v>43219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646820</v>
      </c>
      <c r="D13" s="48">
        <f t="shared" si="0"/>
        <v>-1</v>
      </c>
      <c r="E13" s="25"/>
      <c r="F13" s="41"/>
      <c r="G13" s="41">
        <f>C13-K13</f>
        <v>605930</v>
      </c>
      <c r="H13" s="45">
        <f t="shared" si="1"/>
        <v>-1</v>
      </c>
      <c r="I13" s="25"/>
      <c r="J13" s="41"/>
      <c r="K13" s="41">
        <f>26649+14241</f>
        <v>40890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v>599086</v>
      </c>
      <c r="D14" s="43">
        <f t="shared" si="0"/>
        <v>-1</v>
      </c>
      <c r="E14" s="25"/>
      <c r="F14" s="40"/>
      <c r="G14" s="40">
        <f>C14-K14</f>
        <v>564478</v>
      </c>
      <c r="H14" s="44">
        <f t="shared" si="1"/>
        <v>-1</v>
      </c>
      <c r="I14" s="25"/>
      <c r="J14" s="40"/>
      <c r="K14" s="40">
        <f>10326+24282</f>
        <v>34608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639598</v>
      </c>
      <c r="D15" s="48">
        <f t="shared" si="0"/>
        <v>-1</v>
      </c>
      <c r="E15" s="25"/>
      <c r="F15" s="41"/>
      <c r="G15" s="41">
        <f>C15-K15</f>
        <v>597391</v>
      </c>
      <c r="H15" s="45">
        <f t="shared" si="1"/>
        <v>-1</v>
      </c>
      <c r="I15" s="25"/>
      <c r="J15" s="41"/>
      <c r="K15" s="41">
        <f>14340+27867</f>
        <v>42207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593799</v>
      </c>
      <c r="D16" s="43">
        <f t="shared" si="0"/>
        <v>-1</v>
      </c>
      <c r="E16" s="25"/>
      <c r="F16" s="40"/>
      <c r="G16" s="40">
        <v>547959</v>
      </c>
      <c r="H16" s="44">
        <f t="shared" si="1"/>
        <v>-1</v>
      </c>
      <c r="I16" s="25"/>
      <c r="J16" s="40"/>
      <c r="K16" s="40">
        <v>45840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604995</v>
      </c>
      <c r="D17" s="48">
        <f t="shared" si="0"/>
        <v>-1</v>
      </c>
      <c r="E17" s="25"/>
      <c r="F17" s="41"/>
      <c r="G17" s="41">
        <v>555219</v>
      </c>
      <c r="H17" s="45">
        <f t="shared" si="1"/>
        <v>-1</v>
      </c>
      <c r="I17" s="25"/>
      <c r="J17" s="41"/>
      <c r="K17" s="41">
        <v>49776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E18" s="25"/>
      <c r="I18" s="2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48</v>
      </c>
      <c r="E19" s="25"/>
      <c r="I19" s="2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E20" s="25"/>
      <c r="I20" s="25"/>
    </row>
    <row r="21" spans="1:50" x14ac:dyDescent="0.25">
      <c r="D21" s="38"/>
      <c r="E21" s="38"/>
      <c r="H21" s="38"/>
      <c r="I21" s="25"/>
      <c r="L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AX21"/>
  <sheetViews>
    <sheetView zoomScaleNormal="100" zoomScaleSheetLayoutView="9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23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841879</v>
      </c>
      <c r="C6" s="37">
        <v>814132</v>
      </c>
      <c r="D6" s="43">
        <f t="shared" ref="D6:D17" si="0">B6/C6-1</f>
        <v>3.4081696825576158E-2</v>
      </c>
      <c r="E6" s="27"/>
      <c r="F6" s="66">
        <f>B6-J6</f>
        <v>822072</v>
      </c>
      <c r="G6" s="66">
        <f>C6-K6</f>
        <v>790761</v>
      </c>
      <c r="H6" s="44">
        <f t="shared" ref="H6:H17" si="1">F6/G6-1</f>
        <v>3.9596034705808636E-2</v>
      </c>
      <c r="I6" s="27"/>
      <c r="J6" s="40">
        <v>19807</v>
      </c>
      <c r="K6" s="40">
        <v>23371</v>
      </c>
      <c r="L6" s="44">
        <f>J6/K6-1</f>
        <v>-0.15249668392452187</v>
      </c>
    </row>
    <row r="7" spans="1:50" ht="25" customHeight="1" x14ac:dyDescent="0.25">
      <c r="A7" s="53" t="s">
        <v>4</v>
      </c>
      <c r="B7" s="49">
        <v>829843</v>
      </c>
      <c r="C7" s="49">
        <v>784113</v>
      </c>
      <c r="D7" s="48">
        <f t="shared" si="0"/>
        <v>5.8320675718933401E-2</v>
      </c>
      <c r="E7" s="27"/>
      <c r="F7" s="41">
        <f>B7-J7</f>
        <v>810740</v>
      </c>
      <c r="G7" s="41">
        <f>C7-K7</f>
        <v>760684</v>
      </c>
      <c r="H7" s="45">
        <f t="shared" si="1"/>
        <v>6.5803934353818372E-2</v>
      </c>
      <c r="I7" s="27"/>
      <c r="J7" s="41">
        <v>19103</v>
      </c>
      <c r="K7" s="41">
        <v>23429</v>
      </c>
      <c r="L7" s="45">
        <f t="shared" ref="L7:L17" si="2">J7/K7-1</f>
        <v>-0.18464296384822232</v>
      </c>
      <c r="N7" s="2"/>
      <c r="O7" s="2"/>
    </row>
    <row r="8" spans="1:50" ht="25" customHeight="1" x14ac:dyDescent="0.25">
      <c r="A8" s="52" t="s">
        <v>5</v>
      </c>
      <c r="B8" s="37">
        <v>965761</v>
      </c>
      <c r="C8" s="37">
        <v>928717</v>
      </c>
      <c r="D8" s="43">
        <f t="shared" si="0"/>
        <v>3.9887285362494751E-2</v>
      </c>
      <c r="E8" s="27"/>
      <c r="F8" s="40">
        <f>B8-J8</f>
        <v>947195</v>
      </c>
      <c r="G8" s="40">
        <v>900610</v>
      </c>
      <c r="H8" s="44">
        <f t="shared" si="1"/>
        <v>5.1726052342301321E-2</v>
      </c>
      <c r="I8" s="27"/>
      <c r="J8" s="40">
        <v>18566</v>
      </c>
      <c r="K8" s="40">
        <v>28107</v>
      </c>
      <c r="L8" s="44">
        <f t="shared" si="2"/>
        <v>-0.33945280535098021</v>
      </c>
      <c r="N8" s="2"/>
      <c r="O8" s="2"/>
    </row>
    <row r="9" spans="1:50" ht="25" customHeight="1" x14ac:dyDescent="0.25">
      <c r="A9" s="53" t="s">
        <v>6</v>
      </c>
      <c r="B9" s="53"/>
      <c r="C9" s="49">
        <v>910435</v>
      </c>
      <c r="D9" s="48">
        <f t="shared" si="0"/>
        <v>-1</v>
      </c>
      <c r="E9" s="27"/>
      <c r="F9" s="41"/>
      <c r="G9" s="41">
        <f t="shared" ref="G9:G15" si="3">C9-K9</f>
        <v>883150</v>
      </c>
      <c r="H9" s="45">
        <f t="shared" si="1"/>
        <v>-1</v>
      </c>
      <c r="I9" s="27"/>
      <c r="J9" s="41"/>
      <c r="K9" s="41">
        <v>27285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52"/>
      <c r="C10" s="37">
        <v>980663</v>
      </c>
      <c r="D10" s="43">
        <f t="shared" si="0"/>
        <v>-1</v>
      </c>
      <c r="E10" s="27"/>
      <c r="F10" s="66"/>
      <c r="G10" s="66">
        <f t="shared" si="3"/>
        <v>956111</v>
      </c>
      <c r="H10" s="74">
        <f t="shared" si="1"/>
        <v>-1</v>
      </c>
      <c r="I10" s="27"/>
      <c r="J10" s="40"/>
      <c r="K10" s="40">
        <v>24552</v>
      </c>
      <c r="L10" s="74">
        <f t="shared" si="2"/>
        <v>-1</v>
      </c>
    </row>
    <row r="11" spans="1:50" ht="25" customHeight="1" x14ac:dyDescent="0.25">
      <c r="A11" s="53" t="s">
        <v>8</v>
      </c>
      <c r="B11" s="53"/>
      <c r="C11" s="49">
        <v>1022397</v>
      </c>
      <c r="D11" s="48">
        <f t="shared" si="0"/>
        <v>-1</v>
      </c>
      <c r="E11" s="27"/>
      <c r="F11" s="41"/>
      <c r="G11" s="41">
        <f t="shared" si="3"/>
        <v>996918</v>
      </c>
      <c r="H11" s="45">
        <f t="shared" si="1"/>
        <v>-1</v>
      </c>
      <c r="I11" s="27"/>
      <c r="J11" s="41"/>
      <c r="K11" s="41">
        <v>25479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2"/>
      <c r="C12" s="37">
        <v>1052623</v>
      </c>
      <c r="D12" s="43">
        <f t="shared" si="0"/>
        <v>-1</v>
      </c>
      <c r="E12" s="27"/>
      <c r="F12" s="40"/>
      <c r="G12" s="40">
        <f t="shared" si="3"/>
        <v>1024907</v>
      </c>
      <c r="H12" s="44">
        <f t="shared" si="1"/>
        <v>-1</v>
      </c>
      <c r="I12" s="27"/>
      <c r="J12" s="40"/>
      <c r="K12" s="40">
        <v>27716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3"/>
      <c r="C13" s="49">
        <v>1034529</v>
      </c>
      <c r="D13" s="48">
        <f t="shared" si="0"/>
        <v>-1</v>
      </c>
      <c r="E13" s="27"/>
      <c r="F13" s="41"/>
      <c r="G13" s="41">
        <f t="shared" si="3"/>
        <v>1009899</v>
      </c>
      <c r="H13" s="45">
        <f t="shared" si="1"/>
        <v>-1</v>
      </c>
      <c r="I13" s="27"/>
      <c r="J13" s="41"/>
      <c r="K13" s="41">
        <v>24630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2"/>
      <c r="C14" s="37">
        <v>961137</v>
      </c>
      <c r="D14" s="43">
        <f t="shared" si="0"/>
        <v>-1</v>
      </c>
      <c r="E14" s="27"/>
      <c r="F14" s="40"/>
      <c r="G14" s="40">
        <f t="shared" si="3"/>
        <v>938488</v>
      </c>
      <c r="H14" s="44">
        <f t="shared" si="1"/>
        <v>-1</v>
      </c>
      <c r="I14" s="42"/>
      <c r="J14" s="40"/>
      <c r="K14" s="40">
        <v>22649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3"/>
      <c r="C15" s="49">
        <v>1007895</v>
      </c>
      <c r="D15" s="48">
        <f t="shared" si="0"/>
        <v>-1</v>
      </c>
      <c r="F15" s="41"/>
      <c r="G15" s="41">
        <f t="shared" si="3"/>
        <v>985191</v>
      </c>
      <c r="H15" s="45">
        <f t="shared" si="1"/>
        <v>-1</v>
      </c>
      <c r="J15" s="41"/>
      <c r="K15" s="41">
        <v>22704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2"/>
      <c r="C16" s="37">
        <v>910916</v>
      </c>
      <c r="D16" s="43">
        <f t="shared" si="0"/>
        <v>-1</v>
      </c>
      <c r="F16" s="40"/>
      <c r="G16" s="40">
        <v>887889</v>
      </c>
      <c r="H16" s="44">
        <f t="shared" si="1"/>
        <v>-1</v>
      </c>
      <c r="J16" s="40"/>
      <c r="K16" s="40">
        <v>23027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3"/>
      <c r="C17" s="49">
        <v>961634</v>
      </c>
      <c r="D17" s="48">
        <f t="shared" si="0"/>
        <v>-1</v>
      </c>
      <c r="F17" s="41"/>
      <c r="G17" s="41">
        <v>937229</v>
      </c>
      <c r="H17" s="45">
        <f t="shared" si="1"/>
        <v>-1</v>
      </c>
      <c r="J17" s="41"/>
      <c r="K17" s="41">
        <v>24405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F3:H3"/>
    <mergeCell ref="J3:L3"/>
    <mergeCell ref="B3:D3"/>
  </mergeCells>
  <phoneticPr fontId="17" type="noConversion"/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  <pageSetUpPr fitToPage="1"/>
  </sheetPr>
  <dimension ref="A1:AX22"/>
  <sheetViews>
    <sheetView zoomScaleNormal="100" zoomScaleSheetLayoutView="9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20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935705</v>
      </c>
      <c r="C6" s="37">
        <v>939365</v>
      </c>
      <c r="D6" s="43">
        <f>B6/C6-1</f>
        <v>-3.8962490618662526E-3</v>
      </c>
      <c r="E6" s="27"/>
      <c r="F6" s="40">
        <v>880615</v>
      </c>
      <c r="G6" s="40">
        <v>892319</v>
      </c>
      <c r="H6" s="44">
        <f>F6/G6-1</f>
        <v>-1.3116385507873307E-2</v>
      </c>
      <c r="I6" s="27"/>
      <c r="J6" s="40">
        <v>55090</v>
      </c>
      <c r="K6" s="40">
        <v>47046</v>
      </c>
      <c r="L6" s="44">
        <f>J6/K6-1</f>
        <v>0.17098159248395195</v>
      </c>
    </row>
    <row r="7" spans="1:50" ht="25" customHeight="1" x14ac:dyDescent="0.25">
      <c r="A7" s="53" t="s">
        <v>4</v>
      </c>
      <c r="B7" s="49">
        <v>928271</v>
      </c>
      <c r="C7" s="49">
        <f>G7+K7</f>
        <v>922357</v>
      </c>
      <c r="D7" s="48">
        <f t="shared" ref="D7:D17" si="0">B7/C7-1</f>
        <v>6.4118340295569176E-3</v>
      </c>
      <c r="E7" s="27"/>
      <c r="F7" s="41">
        <v>882002</v>
      </c>
      <c r="G7" s="41">
        <f>394131+42809+276+392400+51550+276</f>
        <v>881442</v>
      </c>
      <c r="H7" s="45">
        <f t="shared" ref="H7:H17" si="1">F7/G7-1</f>
        <v>6.3532257369169898E-4</v>
      </c>
      <c r="I7" s="27"/>
      <c r="J7" s="41">
        <v>46269</v>
      </c>
      <c r="K7" s="41">
        <f>21946+18969</f>
        <v>40915</v>
      </c>
      <c r="L7" s="45">
        <f t="shared" ref="L7:L17" si="2">J7/K7-1</f>
        <v>0.13085665403886115</v>
      </c>
      <c r="N7" s="2"/>
      <c r="O7" s="2"/>
    </row>
    <row r="8" spans="1:50" ht="25" customHeight="1" x14ac:dyDescent="0.25">
      <c r="A8" s="52" t="s">
        <v>5</v>
      </c>
      <c r="B8" s="37">
        <v>1107773</v>
      </c>
      <c r="C8" s="37">
        <v>1128857</v>
      </c>
      <c r="D8" s="43">
        <f t="shared" si="0"/>
        <v>-1.8677299250480783E-2</v>
      </c>
      <c r="E8" s="27"/>
      <c r="F8" s="40">
        <f>495785+41131+666+485114+40612+666</f>
        <v>1063974</v>
      </c>
      <c r="G8" s="40">
        <v>1083556</v>
      </c>
      <c r="H8" s="44">
        <f t="shared" si="1"/>
        <v>-1.8071977821173979E-2</v>
      </c>
      <c r="I8" s="27"/>
      <c r="J8" s="40">
        <f>B8-F8</f>
        <v>43799</v>
      </c>
      <c r="K8" s="40">
        <v>45301</v>
      </c>
      <c r="L8" s="44">
        <f t="shared" si="2"/>
        <v>-3.3156000971281019E-2</v>
      </c>
      <c r="N8" s="2"/>
      <c r="O8" s="2"/>
    </row>
    <row r="9" spans="1:50" ht="25" customHeight="1" x14ac:dyDescent="0.25">
      <c r="A9" s="53" t="s">
        <v>6</v>
      </c>
      <c r="B9" s="49"/>
      <c r="C9" s="49">
        <f>G9+K9</f>
        <v>1157886</v>
      </c>
      <c r="D9" s="48">
        <f t="shared" si="0"/>
        <v>-1</v>
      </c>
      <c r="E9" s="27"/>
      <c r="F9" s="41"/>
      <c r="G9" s="41">
        <f>506311+53693+372+502376+53723+372</f>
        <v>1116847</v>
      </c>
      <c r="H9" s="45">
        <f t="shared" si="1"/>
        <v>-1</v>
      </c>
      <c r="I9" s="27"/>
      <c r="J9" s="41"/>
      <c r="K9" s="41">
        <f>19378+21661</f>
        <v>41039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37"/>
      <c r="C10" s="37">
        <f>G10+K10</f>
        <v>1238628</v>
      </c>
      <c r="D10" s="43">
        <f t="shared" si="0"/>
        <v>-1</v>
      </c>
      <c r="E10" s="27"/>
      <c r="F10" s="40"/>
      <c r="G10" s="40">
        <f>544750+52990+202+549617+52820+202</f>
        <v>1200581</v>
      </c>
      <c r="H10" s="44">
        <f t="shared" si="1"/>
        <v>-1</v>
      </c>
      <c r="I10" s="27"/>
      <c r="J10" s="40"/>
      <c r="K10" s="40">
        <f>18745+19302</f>
        <v>38047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1297721</v>
      </c>
      <c r="D11" s="48">
        <f t="shared" si="0"/>
        <v>-1</v>
      </c>
      <c r="E11" s="27"/>
      <c r="F11" s="41"/>
      <c r="G11" s="41">
        <v>1254723</v>
      </c>
      <c r="H11" s="45">
        <f t="shared" si="1"/>
        <v>-1</v>
      </c>
      <c r="I11" s="27"/>
      <c r="J11" s="41"/>
      <c r="K11" s="41">
        <v>42998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1328712</v>
      </c>
      <c r="D12" s="43">
        <f t="shared" si="0"/>
        <v>-1</v>
      </c>
      <c r="E12" s="27"/>
      <c r="F12" s="40"/>
      <c r="G12" s="40">
        <v>1274522</v>
      </c>
      <c r="H12" s="44">
        <f t="shared" si="1"/>
        <v>-1</v>
      </c>
      <c r="I12" s="27"/>
      <c r="J12" s="40"/>
      <c r="K12" s="40">
        <v>54190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1242472</v>
      </c>
      <c r="D13" s="48">
        <f t="shared" si="0"/>
        <v>-1</v>
      </c>
      <c r="E13" s="27"/>
      <c r="F13" s="41"/>
      <c r="G13" s="41">
        <v>1201158</v>
      </c>
      <c r="H13" s="45">
        <f t="shared" si="1"/>
        <v>-1</v>
      </c>
      <c r="I13" s="27"/>
      <c r="J13" s="41"/>
      <c r="K13" s="41">
        <v>41314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1169982</v>
      </c>
      <c r="D14" s="43">
        <f t="shared" si="0"/>
        <v>-1</v>
      </c>
      <c r="E14" s="27"/>
      <c r="F14" s="40"/>
      <c r="G14" s="40">
        <f>135+49114+518161+519615+48582+140</f>
        <v>1135747</v>
      </c>
      <c r="H14" s="44">
        <f t="shared" si="1"/>
        <v>-1</v>
      </c>
      <c r="I14" s="42"/>
      <c r="J14" s="40"/>
      <c r="K14" s="40">
        <f>17061+17174</f>
        <v>34235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f>G15+K15</f>
        <v>1246844</v>
      </c>
      <c r="D15" s="48">
        <f t="shared" si="0"/>
        <v>-1</v>
      </c>
      <c r="F15" s="41"/>
      <c r="G15" s="41">
        <f>548318+56515+743+544962+57092+602</f>
        <v>1208232</v>
      </c>
      <c r="H15" s="45">
        <f t="shared" si="1"/>
        <v>-1</v>
      </c>
      <c r="J15" s="41"/>
      <c r="K15" s="41">
        <f>18634+19978</f>
        <v>38612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1100961</v>
      </c>
      <c r="D16" s="43">
        <f t="shared" si="0"/>
        <v>-1</v>
      </c>
      <c r="F16" s="40"/>
      <c r="G16" s="40">
        <v>1062995</v>
      </c>
      <c r="H16" s="44">
        <f t="shared" si="1"/>
        <v>-1</v>
      </c>
      <c r="J16" s="40"/>
      <c r="K16" s="40">
        <v>37966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1138933</v>
      </c>
      <c r="D17" s="48">
        <f t="shared" si="0"/>
        <v>-1</v>
      </c>
      <c r="F17" s="41"/>
      <c r="G17" s="41">
        <v>1090143</v>
      </c>
      <c r="H17" s="45">
        <f t="shared" si="1"/>
        <v>-1</v>
      </c>
      <c r="J17" s="41"/>
      <c r="K17" s="41">
        <v>48790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  <row r="22" spans="1:50" x14ac:dyDescent="0.25">
      <c r="D22" s="67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AX21"/>
  <sheetViews>
    <sheetView topLeftCell="A2" zoomScale="110" zoomScaleNormal="110" zoomScaleSheetLayoutView="10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21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51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1853215</v>
      </c>
      <c r="C6" s="37">
        <v>1788014</v>
      </c>
      <c r="D6" s="43">
        <f t="shared" ref="D6:D17" si="0">B6/C6-1</f>
        <v>3.6465598144086231E-2</v>
      </c>
      <c r="E6" s="27"/>
      <c r="F6" s="40">
        <v>1779129</v>
      </c>
      <c r="G6" s="40">
        <v>1719801</v>
      </c>
      <c r="H6" s="44">
        <f t="shared" ref="H6:H17" si="1">F6/G6-1</f>
        <v>3.4497014480163735E-2</v>
      </c>
      <c r="I6" s="27"/>
      <c r="J6" s="40">
        <v>74086</v>
      </c>
      <c r="K6" s="40">
        <v>68213</v>
      </c>
      <c r="L6" s="44">
        <f>J6/K6-1</f>
        <v>8.6097957867268704E-2</v>
      </c>
    </row>
    <row r="7" spans="1:50" ht="25" customHeight="1" x14ac:dyDescent="0.25">
      <c r="A7" s="53" t="s">
        <v>4</v>
      </c>
      <c r="B7" s="49">
        <v>1841024</v>
      </c>
      <c r="C7" s="49">
        <f>G7+K7</f>
        <v>1631661</v>
      </c>
      <c r="D7" s="48">
        <f t="shared" si="0"/>
        <v>0.12831280517215271</v>
      </c>
      <c r="E7" s="27"/>
      <c r="F7" s="41">
        <v>1776293</v>
      </c>
      <c r="G7" s="41">
        <v>1574813</v>
      </c>
      <c r="H7" s="45">
        <f t="shared" si="1"/>
        <v>0.12793899974155654</v>
      </c>
      <c r="I7" s="27"/>
      <c r="J7" s="41">
        <v>64731</v>
      </c>
      <c r="K7" s="41">
        <v>56848</v>
      </c>
      <c r="L7" s="45">
        <f t="shared" ref="L7:L17" si="2">J7/K7-1</f>
        <v>0.13866802701942027</v>
      </c>
      <c r="N7" s="2"/>
      <c r="O7" s="2"/>
    </row>
    <row r="8" spans="1:50" ht="25" customHeight="1" x14ac:dyDescent="0.25">
      <c r="A8" s="52" t="s">
        <v>5</v>
      </c>
      <c r="B8" s="37">
        <v>2304373</v>
      </c>
      <c r="C8" s="37">
        <v>1999137</v>
      </c>
      <c r="D8" s="43">
        <f t="shared" si="0"/>
        <v>0.15268388309555569</v>
      </c>
      <c r="E8" s="27"/>
      <c r="F8" s="40">
        <v>2220931</v>
      </c>
      <c r="G8" s="40">
        <v>1925014</v>
      </c>
      <c r="H8" s="44">
        <f t="shared" si="1"/>
        <v>0.15372199890494298</v>
      </c>
      <c r="I8" s="27"/>
      <c r="J8" s="40">
        <v>83442</v>
      </c>
      <c r="K8" s="40">
        <v>74123</v>
      </c>
      <c r="L8" s="44">
        <f t="shared" si="2"/>
        <v>0.12572345965489795</v>
      </c>
      <c r="N8" s="2"/>
      <c r="O8" s="2"/>
    </row>
    <row r="9" spans="1:50" ht="25" customHeight="1" x14ac:dyDescent="0.25">
      <c r="A9" s="53" t="s">
        <v>6</v>
      </c>
      <c r="B9" s="49"/>
      <c r="C9" s="49">
        <v>2038799</v>
      </c>
      <c r="D9" s="48">
        <f t="shared" si="0"/>
        <v>-1</v>
      </c>
      <c r="E9" s="27"/>
      <c r="F9" s="41"/>
      <c r="G9" s="41">
        <v>1952381</v>
      </c>
      <c r="H9" s="45">
        <f t="shared" si="1"/>
        <v>-1</v>
      </c>
      <c r="I9" s="27"/>
      <c r="J9" s="41"/>
      <c r="K9" s="41">
        <v>86418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37"/>
      <c r="C10" s="37">
        <v>2169067</v>
      </c>
      <c r="D10" s="43">
        <f t="shared" si="0"/>
        <v>-1</v>
      </c>
      <c r="E10" s="27"/>
      <c r="F10" s="40"/>
      <c r="G10" s="40">
        <v>2065836</v>
      </c>
      <c r="H10" s="44">
        <f t="shared" si="1"/>
        <v>-1</v>
      </c>
      <c r="I10" s="27"/>
      <c r="J10" s="40"/>
      <c r="K10" s="40">
        <v>103231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2319522</v>
      </c>
      <c r="D11" s="48">
        <f t="shared" si="0"/>
        <v>-1</v>
      </c>
      <c r="E11" s="27"/>
      <c r="F11" s="41"/>
      <c r="G11" s="41">
        <v>2204233</v>
      </c>
      <c r="H11" s="45">
        <f t="shared" si="1"/>
        <v>-1</v>
      </c>
      <c r="I11" s="27"/>
      <c r="J11" s="41"/>
      <c r="K11" s="41">
        <v>115289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2428862</v>
      </c>
      <c r="D12" s="43">
        <f t="shared" si="0"/>
        <v>-1</v>
      </c>
      <c r="E12" s="27"/>
      <c r="F12" s="40"/>
      <c r="G12" s="40">
        <v>2307229</v>
      </c>
      <c r="H12" s="44">
        <f t="shared" si="1"/>
        <v>-1</v>
      </c>
      <c r="I12" s="27"/>
      <c r="J12" s="40"/>
      <c r="K12" s="40">
        <v>121633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2315596</v>
      </c>
      <c r="D13" s="48">
        <f t="shared" si="0"/>
        <v>-1</v>
      </c>
      <c r="E13" s="27"/>
      <c r="F13" s="41"/>
      <c r="G13" s="41">
        <v>2207495</v>
      </c>
      <c r="H13" s="45">
        <f t="shared" si="1"/>
        <v>-1</v>
      </c>
      <c r="I13" s="27"/>
      <c r="J13" s="41"/>
      <c r="K13" s="41">
        <v>108101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2055757</v>
      </c>
      <c r="D14" s="43">
        <f t="shared" si="0"/>
        <v>-1</v>
      </c>
      <c r="E14" s="27"/>
      <c r="F14" s="40"/>
      <c r="G14" s="40">
        <v>1966273</v>
      </c>
      <c r="H14" s="44">
        <f t="shared" si="1"/>
        <v>-1</v>
      </c>
      <c r="I14" s="27"/>
      <c r="J14" s="40"/>
      <c r="K14" s="40">
        <v>89484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2313717</v>
      </c>
      <c r="D15" s="48">
        <f t="shared" si="0"/>
        <v>-1</v>
      </c>
      <c r="F15" s="41"/>
      <c r="G15" s="41">
        <v>2216954</v>
      </c>
      <c r="H15" s="45">
        <f t="shared" si="1"/>
        <v>-1</v>
      </c>
      <c r="I15" s="27"/>
      <c r="J15" s="41"/>
      <c r="K15" s="41">
        <v>96763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2070939</v>
      </c>
      <c r="D16" s="43">
        <f t="shared" si="0"/>
        <v>-1</v>
      </c>
      <c r="F16" s="40"/>
      <c r="G16" s="40">
        <v>1992993</v>
      </c>
      <c r="H16" s="44">
        <f t="shared" si="1"/>
        <v>-1</v>
      </c>
      <c r="I16" s="27"/>
      <c r="J16" s="40"/>
      <c r="K16" s="40">
        <v>77946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2189485</v>
      </c>
      <c r="D17" s="48">
        <f t="shared" si="0"/>
        <v>-1</v>
      </c>
      <c r="F17" s="41"/>
      <c r="G17" s="41">
        <v>2106582</v>
      </c>
      <c r="H17" s="45">
        <f t="shared" si="1"/>
        <v>-1</v>
      </c>
      <c r="I17" s="27"/>
      <c r="J17" s="41"/>
      <c r="K17" s="41">
        <v>82903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I18" s="27"/>
      <c r="J18" s="2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B3:D3"/>
    <mergeCell ref="F3:H3"/>
    <mergeCell ref="J3:L3"/>
  </mergeCells>
  <phoneticPr fontId="17" type="noConversion"/>
  <pageMargins left="0.7" right="0.7" top="0.75" bottom="0.75" header="0.3" footer="0.3"/>
  <pageSetup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AX26"/>
  <sheetViews>
    <sheetView topLeftCell="A3" zoomScaleNormal="100" zoomScaleSheetLayoutView="100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3995513</v>
      </c>
      <c r="C6" s="37">
        <v>4019311</v>
      </c>
      <c r="D6" s="43">
        <f t="shared" ref="D6:D17" si="0">B6/C6-1</f>
        <v>-5.9209153011547944E-3</v>
      </c>
      <c r="E6" s="27"/>
      <c r="F6" s="40">
        <v>2739850</v>
      </c>
      <c r="G6" s="40">
        <v>2754427</v>
      </c>
      <c r="H6" s="44">
        <f t="shared" ref="H6:H17" si="1">F6/G6-1</f>
        <v>-5.2922077804203882E-3</v>
      </c>
      <c r="I6" s="27"/>
      <c r="J6" s="40">
        <v>1255663</v>
      </c>
      <c r="K6" s="40">
        <v>1264884</v>
      </c>
      <c r="L6" s="44">
        <f>J6/K6-1</f>
        <v>-7.2899965530436317E-3</v>
      </c>
    </row>
    <row r="7" spans="1:50" ht="25" customHeight="1" x14ac:dyDescent="0.25">
      <c r="A7" s="53" t="s">
        <v>4</v>
      </c>
      <c r="B7" s="49">
        <v>3698278</v>
      </c>
      <c r="C7" s="49">
        <f>G7+K7</f>
        <v>3540622</v>
      </c>
      <c r="D7" s="48">
        <f t="shared" si="0"/>
        <v>4.4527769414526519E-2</v>
      </c>
      <c r="E7" s="27"/>
      <c r="F7" s="41">
        <v>2632537</v>
      </c>
      <c r="G7" s="41">
        <v>2510886</v>
      </c>
      <c r="H7" s="45">
        <f t="shared" si="1"/>
        <v>4.8449431794195252E-2</v>
      </c>
      <c r="I7" s="27"/>
      <c r="J7" s="41">
        <v>1065741</v>
      </c>
      <c r="K7" s="41">
        <v>1029736</v>
      </c>
      <c r="L7" s="45">
        <f t="shared" ref="L7:L17" si="2">J7/K7-1</f>
        <v>3.4965272652407897E-2</v>
      </c>
      <c r="N7" s="2"/>
      <c r="O7" s="2"/>
    </row>
    <row r="8" spans="1:50" ht="25" customHeight="1" x14ac:dyDescent="0.25">
      <c r="A8" s="52" t="s">
        <v>5</v>
      </c>
      <c r="B8" s="37">
        <f>F8+J8</f>
        <v>4540874</v>
      </c>
      <c r="C8" s="37">
        <v>4271953</v>
      </c>
      <c r="D8" s="43">
        <f t="shared" si="0"/>
        <v>6.2950364856542151E-2</v>
      </c>
      <c r="E8" s="27"/>
      <c r="F8" s="40">
        <v>3226749</v>
      </c>
      <c r="G8" s="40">
        <v>3035856</v>
      </c>
      <c r="H8" s="44">
        <f t="shared" si="1"/>
        <v>6.2879464638639027E-2</v>
      </c>
      <c r="I8" s="27"/>
      <c r="J8" s="40">
        <v>1314125</v>
      </c>
      <c r="K8" s="40">
        <v>1236097</v>
      </c>
      <c r="L8" s="44">
        <f t="shared" si="2"/>
        <v>6.3124495893121635E-2</v>
      </c>
      <c r="N8" s="2"/>
      <c r="O8" s="2"/>
    </row>
    <row r="9" spans="1:50" ht="25" customHeight="1" x14ac:dyDescent="0.25">
      <c r="A9" s="53" t="s">
        <v>6</v>
      </c>
      <c r="B9" s="49"/>
      <c r="C9" s="49">
        <f>G9+K9</f>
        <v>4451095</v>
      </c>
      <c r="D9" s="48">
        <f t="shared" si="0"/>
        <v>-1</v>
      </c>
      <c r="E9" s="27"/>
      <c r="F9" s="41"/>
      <c r="G9" s="41">
        <v>3159647</v>
      </c>
      <c r="H9" s="45">
        <f t="shared" si="1"/>
        <v>-1</v>
      </c>
      <c r="I9" s="27"/>
      <c r="J9" s="41"/>
      <c r="K9" s="41">
        <v>1291448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37"/>
      <c r="C10" s="37">
        <f>G10+K10</f>
        <v>4855129</v>
      </c>
      <c r="D10" s="43">
        <f t="shared" si="0"/>
        <v>-1</v>
      </c>
      <c r="E10" s="27"/>
      <c r="F10" s="40"/>
      <c r="G10" s="40">
        <v>3469378</v>
      </c>
      <c r="H10" s="44">
        <f t="shared" si="1"/>
        <v>-1</v>
      </c>
      <c r="I10" s="27"/>
      <c r="J10" s="40"/>
      <c r="K10" s="40">
        <v>1385751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5113636</v>
      </c>
      <c r="D11" s="48">
        <f t="shared" si="0"/>
        <v>-1</v>
      </c>
      <c r="E11" s="27"/>
      <c r="F11" s="41"/>
      <c r="G11" s="41">
        <v>3568803</v>
      </c>
      <c r="H11" s="45">
        <f t="shared" si="1"/>
        <v>-1</v>
      </c>
      <c r="I11" s="27"/>
      <c r="J11" s="41"/>
      <c r="K11" s="41">
        <v>1544833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5257003</v>
      </c>
      <c r="D12" s="43">
        <f t="shared" si="0"/>
        <v>-1</v>
      </c>
      <c r="E12" s="27"/>
      <c r="F12" s="40"/>
      <c r="G12" s="40">
        <v>3679603</v>
      </c>
      <c r="H12" s="44">
        <f t="shared" si="1"/>
        <v>-1</v>
      </c>
      <c r="I12" s="27"/>
      <c r="J12" s="40"/>
      <c r="K12" s="40">
        <v>1577400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f>G13+K13</f>
        <v>4813444</v>
      </c>
      <c r="D13" s="48">
        <f t="shared" si="0"/>
        <v>-1</v>
      </c>
      <c r="E13" s="27"/>
      <c r="F13" s="41"/>
      <c r="G13" s="41">
        <v>3354441</v>
      </c>
      <c r="H13" s="45">
        <f t="shared" si="1"/>
        <v>-1</v>
      </c>
      <c r="I13" s="27"/>
      <c r="J13" s="41"/>
      <c r="K13" s="41">
        <v>1459003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4414587</v>
      </c>
      <c r="D14" s="43">
        <f t="shared" si="0"/>
        <v>-1</v>
      </c>
      <c r="E14" s="27"/>
      <c r="F14" s="40"/>
      <c r="G14" s="40">
        <v>3160330</v>
      </c>
      <c r="H14" s="44">
        <f t="shared" si="1"/>
        <v>-1</v>
      </c>
      <c r="I14" s="42"/>
      <c r="J14" s="40"/>
      <c r="K14" s="40">
        <v>1254257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f>G15+K15</f>
        <v>4788331</v>
      </c>
      <c r="D15" s="48">
        <f t="shared" si="0"/>
        <v>-1</v>
      </c>
      <c r="F15" s="41"/>
      <c r="G15" s="41">
        <v>3458277</v>
      </c>
      <c r="H15" s="45">
        <f t="shared" si="1"/>
        <v>-1</v>
      </c>
      <c r="J15" s="41"/>
      <c r="K15" s="41">
        <v>1330054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4290626</v>
      </c>
      <c r="D16" s="43">
        <f t="shared" si="0"/>
        <v>-1</v>
      </c>
      <c r="F16" s="40"/>
      <c r="G16" s="40">
        <v>3086351</v>
      </c>
      <c r="H16" s="44">
        <f t="shared" si="1"/>
        <v>-1</v>
      </c>
      <c r="J16" s="40"/>
      <c r="K16" s="40">
        <v>1204275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4543696</v>
      </c>
      <c r="D17" s="48">
        <f t="shared" si="0"/>
        <v>-1</v>
      </c>
      <c r="F17" s="41"/>
      <c r="G17" s="41">
        <v>3208284</v>
      </c>
      <c r="H17" s="45">
        <f t="shared" si="1"/>
        <v>-1</v>
      </c>
      <c r="J17" s="41"/>
      <c r="K17" s="41">
        <v>1335412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  <row r="26" spans="1:50" x14ac:dyDescent="0.25">
      <c r="G26" s="58"/>
    </row>
  </sheetData>
  <mergeCells count="4">
    <mergeCell ref="A1:L1"/>
    <mergeCell ref="F3:H3"/>
    <mergeCell ref="J3:L3"/>
    <mergeCell ref="B3:D3"/>
  </mergeCells>
  <phoneticPr fontId="17" type="noConversion"/>
  <pageMargins left="0.7" right="0.7" top="0.75" bottom="0.75" header="0.3" footer="0.3"/>
  <pageSetup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AX21"/>
  <sheetViews>
    <sheetView zoomScaleNormal="100" zoomScaleSheetLayoutView="93" workbookViewId="0">
      <selection activeCell="B8" sqref="B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8" t="s">
        <v>22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79" t="s">
        <v>44</v>
      </c>
      <c r="C3" s="79"/>
      <c r="D3" s="79"/>
      <c r="E3" s="33"/>
      <c r="F3" s="80" t="s">
        <v>15</v>
      </c>
      <c r="G3" s="80"/>
      <c r="H3" s="80"/>
      <c r="I3" s="33"/>
      <c r="J3" s="80" t="s">
        <v>16</v>
      </c>
      <c r="K3" s="80"/>
      <c r="L3" s="80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75">
        <v>647680</v>
      </c>
      <c r="C6" s="37">
        <v>771112</v>
      </c>
      <c r="D6" s="43">
        <f t="shared" ref="D6:D17" si="0">B6/C6-1</f>
        <v>-0.16007013248399715</v>
      </c>
      <c r="E6" s="27"/>
      <c r="F6" s="40">
        <v>605328</v>
      </c>
      <c r="G6" s="40">
        <v>723051</v>
      </c>
      <c r="H6" s="44">
        <f t="shared" ref="H6:H17" si="1">F6/G6-1</f>
        <v>-0.16281424131907707</v>
      </c>
      <c r="I6" s="27"/>
      <c r="J6" s="40">
        <v>42352</v>
      </c>
      <c r="K6" s="40">
        <f>21430+26631</f>
        <v>48061</v>
      </c>
      <c r="L6" s="44">
        <f>J6/K6-1</f>
        <v>-0.11878654210274442</v>
      </c>
    </row>
    <row r="7" spans="1:50" ht="25" customHeight="1" x14ac:dyDescent="0.25">
      <c r="A7" s="53" t="s">
        <v>4</v>
      </c>
      <c r="B7" s="76">
        <v>673617</v>
      </c>
      <c r="C7" s="49">
        <f>G7+K7</f>
        <v>746233</v>
      </c>
      <c r="D7" s="48">
        <f t="shared" si="0"/>
        <v>-9.7310089476075112E-2</v>
      </c>
      <c r="E7" s="27"/>
      <c r="F7" s="41">
        <v>640043</v>
      </c>
      <c r="G7" s="41">
        <f>343446+336051+14166+14166</f>
        <v>707829</v>
      </c>
      <c r="H7" s="45">
        <f t="shared" si="1"/>
        <v>-9.5766067793209952E-2</v>
      </c>
      <c r="I7" s="27"/>
      <c r="J7" s="41">
        <v>33574</v>
      </c>
      <c r="K7" s="41">
        <f>18433+19971</f>
        <v>38404</v>
      </c>
      <c r="L7" s="45">
        <f t="shared" ref="L7:L17" si="2">J7/K7-1</f>
        <v>-0.1257681491511301</v>
      </c>
      <c r="N7" s="2"/>
      <c r="O7" s="2"/>
    </row>
    <row r="8" spans="1:50" ht="25" customHeight="1" x14ac:dyDescent="0.25">
      <c r="A8" s="52" t="s">
        <v>5</v>
      </c>
      <c r="B8" s="75">
        <f>F8+J8</f>
        <v>772458</v>
      </c>
      <c r="C8" s="37">
        <v>880071</v>
      </c>
      <c r="D8" s="43">
        <f t="shared" si="0"/>
        <v>-0.12227763441813222</v>
      </c>
      <c r="E8" s="27"/>
      <c r="F8" s="40">
        <f>342936+345732+23276+23276</f>
        <v>735220</v>
      </c>
      <c r="G8" s="40">
        <v>835298</v>
      </c>
      <c r="H8" s="44">
        <f t="shared" si="1"/>
        <v>-0.1198111332721975</v>
      </c>
      <c r="I8" s="27"/>
      <c r="J8" s="40">
        <f>17956+19282</f>
        <v>37238</v>
      </c>
      <c r="K8" s="40">
        <v>44773</v>
      </c>
      <c r="L8" s="44">
        <f t="shared" si="2"/>
        <v>-0.16829339110624708</v>
      </c>
      <c r="N8" s="2"/>
      <c r="O8" s="2"/>
    </row>
    <row r="9" spans="1:50" ht="25" customHeight="1" x14ac:dyDescent="0.25">
      <c r="A9" s="53" t="s">
        <v>6</v>
      </c>
      <c r="B9" s="76"/>
      <c r="C9" s="49">
        <f>G9+K9</f>
        <v>891340</v>
      </c>
      <c r="D9" s="48">
        <f t="shared" si="0"/>
        <v>-1</v>
      </c>
      <c r="E9" s="27"/>
      <c r="F9" s="41"/>
      <c r="G9" s="41">
        <f>402084+405500+17081+17081</f>
        <v>841746</v>
      </c>
      <c r="H9" s="45">
        <f t="shared" si="1"/>
        <v>-1</v>
      </c>
      <c r="I9" s="27"/>
      <c r="J9" s="41"/>
      <c r="K9" s="41">
        <f>21495+28099</f>
        <v>49594</v>
      </c>
      <c r="L9" s="45">
        <f t="shared" si="2"/>
        <v>-1</v>
      </c>
      <c r="N9" s="2"/>
    </row>
    <row r="10" spans="1:50" ht="25" customHeight="1" x14ac:dyDescent="0.25">
      <c r="A10" s="52" t="s">
        <v>7</v>
      </c>
      <c r="B10" s="75"/>
      <c r="C10" s="37">
        <f>G10+K10</f>
        <v>931307</v>
      </c>
      <c r="D10" s="43">
        <f t="shared" si="0"/>
        <v>-1</v>
      </c>
      <c r="E10" s="27"/>
      <c r="F10" s="40"/>
      <c r="G10" s="40">
        <f>423072+429026+15999+15999</f>
        <v>884096</v>
      </c>
      <c r="H10" s="44">
        <f t="shared" si="1"/>
        <v>-1</v>
      </c>
      <c r="I10" s="27"/>
      <c r="J10" s="40"/>
      <c r="K10" s="40">
        <v>47211</v>
      </c>
      <c r="L10" s="44">
        <f t="shared" si="2"/>
        <v>-1</v>
      </c>
    </row>
    <row r="11" spans="1:50" ht="25" customHeight="1" x14ac:dyDescent="0.25">
      <c r="A11" s="53" t="s">
        <v>8</v>
      </c>
      <c r="B11" s="76"/>
      <c r="C11" s="49">
        <v>995920</v>
      </c>
      <c r="D11" s="48">
        <f t="shared" si="0"/>
        <v>-1</v>
      </c>
      <c r="E11" s="27"/>
      <c r="F11" s="41"/>
      <c r="G11" s="41">
        <v>944299</v>
      </c>
      <c r="H11" s="45">
        <f t="shared" si="1"/>
        <v>-1</v>
      </c>
      <c r="I11" s="27"/>
      <c r="J11" s="41"/>
      <c r="K11" s="41">
        <v>51621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75"/>
      <c r="C12" s="37">
        <v>1007771</v>
      </c>
      <c r="D12" s="43">
        <f t="shared" si="0"/>
        <v>-1</v>
      </c>
      <c r="E12" s="27"/>
      <c r="F12" s="40"/>
      <c r="G12" s="40">
        <v>947930</v>
      </c>
      <c r="H12" s="44">
        <f t="shared" si="1"/>
        <v>-1</v>
      </c>
      <c r="I12" s="27"/>
      <c r="J12" s="40"/>
      <c r="K12" s="40">
        <v>59841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76"/>
      <c r="C13" s="49">
        <f>G13+K13</f>
        <v>973995</v>
      </c>
      <c r="D13" s="48">
        <f t="shared" si="0"/>
        <v>-1</v>
      </c>
      <c r="E13" s="27"/>
      <c r="F13" s="41"/>
      <c r="G13" s="41">
        <f>435148+432048+30447+30447</f>
        <v>928090</v>
      </c>
      <c r="H13" s="45">
        <f t="shared" si="1"/>
        <v>-1</v>
      </c>
      <c r="I13" s="27"/>
      <c r="J13" s="41"/>
      <c r="K13" s="41">
        <f>19627+26278</f>
        <v>45905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75"/>
      <c r="C14" s="37">
        <f>G14+K14</f>
        <v>874618</v>
      </c>
      <c r="D14" s="43">
        <f t="shared" si="0"/>
        <v>-1</v>
      </c>
      <c r="E14" s="27"/>
      <c r="F14" s="40"/>
      <c r="G14" s="40">
        <f>396366+23876+403045+23876</f>
        <v>847163</v>
      </c>
      <c r="H14" s="44">
        <f t="shared" si="1"/>
        <v>-1</v>
      </c>
      <c r="I14" s="42"/>
      <c r="J14" s="40"/>
      <c r="K14" s="40">
        <f>13030+14425</f>
        <v>27455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76"/>
      <c r="C15" s="49">
        <f>G15+K15</f>
        <v>917828</v>
      </c>
      <c r="D15" s="48">
        <f t="shared" si="0"/>
        <v>-1</v>
      </c>
      <c r="F15" s="41"/>
      <c r="G15" s="41">
        <f>416136+413926+25551+25551</f>
        <v>881164</v>
      </c>
      <c r="H15" s="45">
        <f t="shared" si="1"/>
        <v>-1</v>
      </c>
      <c r="J15" s="41"/>
      <c r="K15" s="41">
        <f>18984+17680</f>
        <v>36664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75"/>
      <c r="C16" s="37">
        <v>830952</v>
      </c>
      <c r="D16" s="43">
        <f t="shared" si="0"/>
        <v>-1</v>
      </c>
      <c r="F16" s="40"/>
      <c r="G16" s="40">
        <v>792693</v>
      </c>
      <c r="H16" s="44">
        <f t="shared" si="1"/>
        <v>-1</v>
      </c>
      <c r="J16" s="40"/>
      <c r="K16" s="40">
        <v>38259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76"/>
      <c r="C17" s="49">
        <v>854020</v>
      </c>
      <c r="D17" s="48">
        <f t="shared" si="0"/>
        <v>-1</v>
      </c>
      <c r="F17" s="41"/>
      <c r="G17" s="41">
        <v>798690</v>
      </c>
      <c r="H17" s="45">
        <f t="shared" si="1"/>
        <v>-1</v>
      </c>
      <c r="J17" s="41"/>
      <c r="K17" s="41">
        <v>55330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F3:H3"/>
    <mergeCell ref="B3:D3"/>
    <mergeCell ref="J3:L3"/>
  </mergeCells>
  <phoneticPr fontId="17" type="noConversion"/>
  <pageMargins left="0.7" right="0.7" top="0.75" bottom="0.75" header="0.3" footer="0.3"/>
  <pageSetup scale="5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workbookViewId="0">
      <selection activeCell="J16" sqref="J16"/>
    </sheetView>
  </sheetViews>
  <sheetFormatPr baseColWidth="10" defaultColWidth="8.83203125" defaultRowHeight="15" x14ac:dyDescent="0.2"/>
  <cols>
    <col min="1" max="1" width="4.6640625" style="20" customWidth="1"/>
    <col min="2" max="2" width="4.6640625" customWidth="1"/>
    <col min="3" max="3" width="11" customWidth="1"/>
    <col min="4" max="4" width="14.33203125" customWidth="1"/>
    <col min="5" max="5" width="14.6640625" customWidth="1"/>
    <col min="6" max="6" width="11.1640625" customWidth="1"/>
    <col min="7" max="7" width="14.6640625" customWidth="1"/>
    <col min="8" max="8" width="17.5" customWidth="1"/>
    <col min="9" max="9" width="17.83203125" customWidth="1"/>
    <col min="10" max="10" width="14.6640625" customWidth="1"/>
    <col min="11" max="11" width="10.33203125" customWidth="1"/>
    <col min="12" max="45" width="9.1640625" customWidth="1"/>
  </cols>
  <sheetData>
    <row r="1" spans="1:9" x14ac:dyDescent="0.2">
      <c r="B1" s="22"/>
      <c r="C1" s="23" t="s">
        <v>34</v>
      </c>
      <c r="D1" s="24"/>
      <c r="E1" s="24"/>
    </row>
    <row r="3" spans="1:9" ht="19" x14ac:dyDescent="0.25">
      <c r="A3" s="83" t="s">
        <v>29</v>
      </c>
      <c r="B3" s="83"/>
      <c r="C3" s="83"/>
      <c r="D3" s="83"/>
      <c r="E3" s="83"/>
      <c r="F3" s="83"/>
      <c r="G3" s="83"/>
      <c r="H3" s="83"/>
      <c r="I3" s="83"/>
    </row>
    <row r="4" spans="1:9" x14ac:dyDescent="0.2">
      <c r="C4" s="1"/>
      <c r="D4" s="1"/>
      <c r="E4" s="1"/>
      <c r="F4" s="1"/>
    </row>
    <row r="5" spans="1:9" ht="16" x14ac:dyDescent="0.2">
      <c r="A5" s="20">
        <v>1</v>
      </c>
      <c r="C5" s="19" t="s">
        <v>27</v>
      </c>
      <c r="D5" s="3"/>
      <c r="E5" s="1"/>
      <c r="F5" s="17" t="s">
        <v>30</v>
      </c>
      <c r="G5" s="13"/>
    </row>
    <row r="6" spans="1:9" x14ac:dyDescent="0.2">
      <c r="C6" s="5"/>
      <c r="D6" s="6"/>
      <c r="E6" s="1"/>
      <c r="F6" s="14"/>
      <c r="G6" s="15"/>
      <c r="H6" t="s">
        <v>32</v>
      </c>
    </row>
    <row r="7" spans="1:9" x14ac:dyDescent="0.2">
      <c r="C7" s="7"/>
      <c r="D7" s="8"/>
      <c r="E7" s="1"/>
      <c r="F7" s="15"/>
      <c r="G7" s="15"/>
    </row>
    <row r="8" spans="1:9" x14ac:dyDescent="0.2">
      <c r="C8" s="1"/>
      <c r="D8" s="1"/>
      <c r="E8" s="1"/>
    </row>
    <row r="9" spans="1:9" ht="16" x14ac:dyDescent="0.2">
      <c r="A9" s="20">
        <v>2</v>
      </c>
      <c r="C9" s="19" t="s">
        <v>26</v>
      </c>
      <c r="D9" s="3"/>
      <c r="E9" s="1"/>
      <c r="F9" s="1"/>
    </row>
    <row r="10" spans="1:9" ht="16" x14ac:dyDescent="0.2">
      <c r="C10" s="5"/>
      <c r="D10" s="6"/>
      <c r="E10" s="1"/>
      <c r="F10" s="17" t="s">
        <v>31</v>
      </c>
      <c r="G10" s="18"/>
    </row>
    <row r="11" spans="1:9" x14ac:dyDescent="0.2">
      <c r="C11" s="7"/>
      <c r="D11" s="8"/>
      <c r="E11" s="1"/>
      <c r="F11" s="16"/>
      <c r="G11" s="16"/>
      <c r="H11" t="s">
        <v>32</v>
      </c>
    </row>
    <row r="12" spans="1:9" x14ac:dyDescent="0.2">
      <c r="C12" s="1"/>
      <c r="D12" s="1"/>
      <c r="E12" s="1"/>
      <c r="F12" s="16"/>
      <c r="G12" s="16"/>
    </row>
    <row r="13" spans="1:9" ht="16" x14ac:dyDescent="0.2">
      <c r="A13" s="20">
        <v>3</v>
      </c>
      <c r="C13" s="19" t="s">
        <v>21</v>
      </c>
      <c r="D13" s="3"/>
      <c r="E13" s="1"/>
    </row>
    <row r="14" spans="1:9" x14ac:dyDescent="0.2">
      <c r="C14" s="5"/>
      <c r="D14" s="6"/>
      <c r="E14" s="1"/>
    </row>
    <row r="15" spans="1:9" x14ac:dyDescent="0.2">
      <c r="C15" s="7"/>
      <c r="D15" s="8"/>
      <c r="E15" s="1"/>
    </row>
    <row r="16" spans="1:9" x14ac:dyDescent="0.2">
      <c r="C16" s="1"/>
      <c r="D16" s="1"/>
      <c r="E16" s="1"/>
    </row>
    <row r="17" spans="1:6" ht="16" x14ac:dyDescent="0.2">
      <c r="A17" s="20">
        <v>4</v>
      </c>
      <c r="C17" s="19" t="s">
        <v>25</v>
      </c>
      <c r="D17" s="3"/>
      <c r="E17" s="1"/>
    </row>
    <row r="18" spans="1:6" x14ac:dyDescent="0.2">
      <c r="C18" s="5"/>
      <c r="D18" s="9"/>
      <c r="E18" s="1"/>
    </row>
    <row r="19" spans="1:6" x14ac:dyDescent="0.2">
      <c r="C19" s="7"/>
      <c r="D19" s="10"/>
      <c r="E19" s="1"/>
    </row>
    <row r="20" spans="1:6" x14ac:dyDescent="0.2">
      <c r="C20" s="1"/>
      <c r="D20" s="1"/>
      <c r="E20" s="1"/>
      <c r="F20" s="1"/>
    </row>
    <row r="21" spans="1:6" ht="16" x14ac:dyDescent="0.2">
      <c r="A21" s="20">
        <v>5</v>
      </c>
      <c r="C21" s="19" t="s">
        <v>20</v>
      </c>
      <c r="D21" s="3"/>
    </row>
    <row r="22" spans="1:6" x14ac:dyDescent="0.2">
      <c r="C22" s="5"/>
      <c r="D22" s="6"/>
    </row>
    <row r="23" spans="1:6" x14ac:dyDescent="0.2">
      <c r="C23" s="7"/>
      <c r="D23" s="8"/>
    </row>
    <row r="24" spans="1:6" x14ac:dyDescent="0.2">
      <c r="C24" s="1"/>
      <c r="D24" s="1"/>
      <c r="E24" s="1"/>
    </row>
    <row r="25" spans="1:6" ht="16" x14ac:dyDescent="0.2">
      <c r="A25" s="20">
        <v>6</v>
      </c>
      <c r="C25" s="19" t="s">
        <v>22</v>
      </c>
      <c r="D25" s="3"/>
      <c r="E25" s="4"/>
    </row>
    <row r="26" spans="1:6" x14ac:dyDescent="0.2">
      <c r="C26" s="5"/>
      <c r="D26" s="6"/>
      <c r="E26" s="1"/>
    </row>
    <row r="27" spans="1:6" x14ac:dyDescent="0.2">
      <c r="C27" s="7"/>
      <c r="D27" s="8"/>
      <c r="E27" s="1"/>
    </row>
    <row r="28" spans="1:6" x14ac:dyDescent="0.2">
      <c r="C28" s="1"/>
      <c r="D28" s="1"/>
      <c r="E28" s="1"/>
    </row>
    <row r="29" spans="1:6" ht="16" x14ac:dyDescent="0.2">
      <c r="A29" s="20">
        <v>7</v>
      </c>
      <c r="C29" s="17" t="s">
        <v>33</v>
      </c>
      <c r="D29" s="4"/>
      <c r="E29" s="1"/>
    </row>
    <row r="30" spans="1:6" x14ac:dyDescent="0.2">
      <c r="C30" s="5"/>
      <c r="D30" s="11"/>
      <c r="E30" s="1"/>
    </row>
    <row r="31" spans="1:6" x14ac:dyDescent="0.2">
      <c r="C31" s="7"/>
      <c r="D31" s="12"/>
      <c r="E31" s="1"/>
    </row>
    <row r="32" spans="1:6" x14ac:dyDescent="0.2">
      <c r="C32" s="1"/>
      <c r="D32" s="1"/>
      <c r="E32" s="1"/>
      <c r="F32" s="1"/>
    </row>
    <row r="33" spans="1:7" ht="16" x14ac:dyDescent="0.2">
      <c r="A33" s="20">
        <v>8</v>
      </c>
      <c r="C33" s="19" t="s">
        <v>19</v>
      </c>
      <c r="D33" s="3"/>
      <c r="E33" s="1"/>
      <c r="F33" s="1"/>
    </row>
    <row r="34" spans="1:7" x14ac:dyDescent="0.2">
      <c r="C34" s="5"/>
      <c r="D34" s="6"/>
      <c r="E34" s="1"/>
      <c r="F34" s="1"/>
    </row>
    <row r="35" spans="1:7" x14ac:dyDescent="0.2">
      <c r="C35" s="7"/>
      <c r="D35" s="8"/>
      <c r="E35" s="1"/>
      <c r="F35" s="1"/>
    </row>
    <row r="36" spans="1:7" x14ac:dyDescent="0.2">
      <c r="C36" s="1"/>
      <c r="D36" s="1"/>
      <c r="E36" s="1"/>
      <c r="F36" s="1"/>
    </row>
    <row r="37" spans="1:7" ht="16" x14ac:dyDescent="0.2">
      <c r="A37" s="20">
        <v>9</v>
      </c>
      <c r="C37" s="19" t="s">
        <v>17</v>
      </c>
      <c r="D37" s="3"/>
      <c r="F37" s="1"/>
    </row>
    <row r="38" spans="1:7" x14ac:dyDescent="0.2">
      <c r="C38" s="5"/>
      <c r="D38" s="6"/>
      <c r="F38" s="1"/>
    </row>
    <row r="39" spans="1:7" x14ac:dyDescent="0.2">
      <c r="C39" s="7"/>
      <c r="D39" s="8"/>
      <c r="F39" s="1"/>
    </row>
    <row r="40" spans="1:7" x14ac:dyDescent="0.2">
      <c r="C40" s="1"/>
      <c r="D40" s="1"/>
      <c r="E40" s="1"/>
      <c r="F40" s="1"/>
    </row>
    <row r="41" spans="1:7" ht="16" x14ac:dyDescent="0.2">
      <c r="A41" s="20">
        <v>10</v>
      </c>
      <c r="C41" s="19" t="s">
        <v>24</v>
      </c>
      <c r="D41" s="3"/>
      <c r="E41" s="1"/>
      <c r="F41" s="1"/>
    </row>
    <row r="42" spans="1:7" x14ac:dyDescent="0.2">
      <c r="C42" s="5"/>
      <c r="D42" s="6"/>
      <c r="E42" s="1"/>
      <c r="F42" s="1"/>
      <c r="G42" t="s">
        <v>28</v>
      </c>
    </row>
    <row r="43" spans="1:7" x14ac:dyDescent="0.2">
      <c r="C43" s="7"/>
      <c r="D43" s="8"/>
      <c r="E43" s="1"/>
      <c r="F43" s="1"/>
    </row>
    <row r="44" spans="1:7" x14ac:dyDescent="0.2">
      <c r="C44" s="1"/>
      <c r="D44" s="1"/>
      <c r="E44" s="1"/>
      <c r="F44" s="1"/>
    </row>
  </sheetData>
  <mergeCells count="1">
    <mergeCell ref="A3:I3"/>
  </mergeCells>
  <pageMargins left="0.7" right="0.7" top="0.75" bottom="0.75" header="0.3" footer="0.3"/>
  <pageSetup scale="8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CALIFORNIA</vt:lpstr>
      <vt:lpstr>Los Angeles</vt:lpstr>
      <vt:lpstr>Burbank</vt:lpstr>
      <vt:lpstr>Long Beach</vt:lpstr>
      <vt:lpstr>Oakland</vt:lpstr>
      <vt:lpstr>Ontario</vt:lpstr>
      <vt:lpstr>Orange County</vt:lpstr>
      <vt:lpstr>Sacramento</vt:lpstr>
      <vt:lpstr>San Diego</vt:lpstr>
      <vt:lpstr>San Francisco</vt:lpstr>
      <vt:lpstr>San Jose</vt:lpstr>
      <vt:lpstr>High Low stats</vt:lpstr>
      <vt:lpstr>Burbank!Print_Area</vt:lpstr>
      <vt:lpstr>CALIFORNIA!Print_Area</vt:lpstr>
      <vt:lpstr>'High Low stats'!Print_Area</vt:lpstr>
      <vt:lpstr>'Long Beach'!Print_Area</vt:lpstr>
      <vt:lpstr>'Los Angeles'!Print_Area</vt:lpstr>
      <vt:lpstr>Oakland!Print_Area</vt:lpstr>
      <vt:lpstr>Ontario!Print_Area</vt:lpstr>
      <vt:lpstr>'Orange County'!Print_Area</vt:lpstr>
      <vt:lpstr>Sacramento!Print_Area</vt:lpstr>
      <vt:lpstr>'San Francisco'!Print_Area</vt:lpstr>
      <vt:lpstr>'San Jose'!Print_Area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temp1</dc:creator>
  <cp:lastModifiedBy>Ani Chibukhchyan</cp:lastModifiedBy>
  <cp:lastPrinted>2019-08-08T15:34:37Z</cp:lastPrinted>
  <dcterms:created xsi:type="dcterms:W3CDTF">2008-12-18T23:04:54Z</dcterms:created>
  <dcterms:modified xsi:type="dcterms:W3CDTF">2026-06-01T04:24:47Z</dcterms:modified>
</cp:coreProperties>
</file>